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a11e20c9bedb3f7/Desktop/"/>
    </mc:Choice>
  </mc:AlternateContent>
  <xr:revisionPtr revIDLastSave="7" documentId="8_{7E370629-2DA3-42E7-BEC9-82594FB72FF9}" xr6:coauthVersionLast="47" xr6:coauthVersionMax="47" xr10:uidLastSave="{8E2C1FAE-0339-415C-AE47-5CAEC8541BD3}"/>
  <bookViews>
    <workbookView xWindow="-108" yWindow="-108" windowWidth="23256" windowHeight="12456" xr2:uid="{7C96F1AD-3658-41E0-9489-C82DA50AAE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2" i="1" l="1"/>
  <c r="C33" i="1"/>
  <c r="C34" i="1"/>
  <c r="C35" i="1"/>
  <c r="C31" i="1"/>
  <c r="B32" i="1"/>
  <c r="B33" i="1"/>
  <c r="B34" i="1"/>
  <c r="B35" i="1"/>
  <c r="B31" i="1"/>
  <c r="B27" i="1"/>
  <c r="B26" i="1"/>
  <c r="B25" i="1"/>
  <c r="B24" i="1"/>
  <c r="D22" i="1"/>
  <c r="E22" i="1"/>
  <c r="F22" i="1"/>
  <c r="G22" i="1"/>
  <c r="H22" i="1"/>
  <c r="I22" i="1"/>
  <c r="J22" i="1"/>
  <c r="K22" i="1"/>
  <c r="L22" i="1"/>
  <c r="C22" i="1"/>
  <c r="B22" i="1"/>
  <c r="C21" i="1"/>
  <c r="D20" i="1"/>
  <c r="E20" i="1"/>
  <c r="F20" i="1"/>
  <c r="G20" i="1"/>
  <c r="H20" i="1"/>
  <c r="I20" i="1"/>
  <c r="J20" i="1"/>
  <c r="K20" i="1"/>
  <c r="L20" i="1"/>
  <c r="C20" i="1"/>
  <c r="D15" i="1"/>
  <c r="E15" i="1"/>
  <c r="F15" i="1"/>
  <c r="G15" i="1"/>
  <c r="H15" i="1"/>
  <c r="I15" i="1"/>
  <c r="J15" i="1"/>
  <c r="K15" i="1"/>
  <c r="L15" i="1"/>
  <c r="D14" i="1"/>
  <c r="E14" i="1"/>
  <c r="F14" i="1"/>
  <c r="G14" i="1"/>
  <c r="H14" i="1"/>
  <c r="I14" i="1"/>
  <c r="J14" i="1"/>
  <c r="K14" i="1"/>
  <c r="L14" i="1"/>
  <c r="D13" i="1"/>
  <c r="E13" i="1"/>
  <c r="F13" i="1"/>
  <c r="G13" i="1"/>
  <c r="H13" i="1"/>
  <c r="I13" i="1"/>
  <c r="J13" i="1"/>
  <c r="K13" i="1"/>
  <c r="L13" i="1"/>
  <c r="D12" i="1"/>
  <c r="E12" i="1"/>
  <c r="F12" i="1"/>
  <c r="G12" i="1"/>
  <c r="H12" i="1"/>
  <c r="I12" i="1"/>
  <c r="J12" i="1"/>
  <c r="K12" i="1"/>
  <c r="L12" i="1"/>
  <c r="C19" i="1"/>
  <c r="B18" i="1"/>
  <c r="C15" i="1"/>
  <c r="B15" i="1"/>
  <c r="C14" i="1"/>
  <c r="C13" i="1"/>
  <c r="C12" i="1"/>
  <c r="B11" i="1"/>
  <c r="C5" i="1"/>
  <c r="B5" i="1"/>
</calcChain>
</file>

<file path=xl/sharedStrings.xml><?xml version="1.0" encoding="utf-8"?>
<sst xmlns="http://schemas.openxmlformats.org/spreadsheetml/2006/main" count="28" uniqueCount="25">
  <si>
    <t>Thông số</t>
  </si>
  <si>
    <t xml:space="preserve">PA1 ̣̣̣̣(Lò cao) </t>
  </si>
  <si>
    <t>PA2 (Lò điện)</t>
  </si>
  <si>
    <t>Vốn đầu tư (I0)</t>
  </si>
  <si>
    <t>Doanh thu hàng năm (TR)</t>
  </si>
  <si>
    <t>OPEX hàng năm</t>
  </si>
  <si>
    <t>Khấu hao mỗi năm</t>
  </si>
  <si>
    <t>Thuế TNDN (%)</t>
  </si>
  <si>
    <t>MARR (%)</t>
  </si>
  <si>
    <t>Năm</t>
  </si>
  <si>
    <t>Dòng tiền ra (I0 PA1)</t>
  </si>
  <si>
    <t>Thu nhập chịu thuế PA1</t>
  </si>
  <si>
    <t>Thuế TNDN PA1</t>
  </si>
  <si>
    <t>Lợi nhuận ròng PA1</t>
  </si>
  <si>
    <t>DÒNG TIỀN CFAT PA1</t>
  </si>
  <si>
    <t>Dòng tiền ra (I0 PA2)</t>
  </si>
  <si>
    <t>Thu nhập chịu thuế PA2</t>
  </si>
  <si>
    <t>Thuế TNDN PA2</t>
  </si>
  <si>
    <t>Lợi nhuận ròng PA2</t>
  </si>
  <si>
    <t>DÒNG TIỀN CFAT PA2</t>
  </si>
  <si>
    <t>NPV PA1</t>
  </si>
  <si>
    <t>IRR PA1</t>
  </si>
  <si>
    <t>NPV PA2</t>
  </si>
  <si>
    <t>IRR PA2</t>
  </si>
  <si>
    <t>Mức biến động giá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</si>
</sst>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0" fontId="1" fillId="0" borderId="0" xfId="0" applyFont="1"/>
    <xf numFmtId="8" fontId="0" fillId="0" borderId="0" xfId="0" applyNumberFormat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Biểu đồ phân tích độ nhạy NPV theo giá bán sản phẩm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Sheet1!$A$30</c:f>
              <c:strCache>
                <c:ptCount val="1"/>
                <c:pt idx="0">
                  <c:v>Mức biến động giá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numRef>
              <c:f>Sheet1!$A$31:$A$35</c:f>
              <c:numCache>
                <c:formatCode>0%</c:formatCode>
                <c:ptCount val="5"/>
                <c:pt idx="0">
                  <c:v>-0.2</c:v>
                </c:pt>
                <c:pt idx="1">
                  <c:v>-0.1</c:v>
                </c:pt>
                <c:pt idx="2">
                  <c:v>0</c:v>
                </c:pt>
                <c:pt idx="3">
                  <c:v>0.1</c:v>
                </c:pt>
                <c:pt idx="4">
                  <c:v>0.2</c:v>
                </c:pt>
              </c:numCache>
            </c:numRef>
          </c:cat>
          <c:val>
            <c:numRef>
              <c:f>Sheet1!$A$31:$A$35</c:f>
              <c:numCache>
                <c:formatCode>0%</c:formatCode>
                <c:ptCount val="5"/>
                <c:pt idx="0">
                  <c:v>-0.2</c:v>
                </c:pt>
                <c:pt idx="1">
                  <c:v>-0.1</c:v>
                </c:pt>
                <c:pt idx="2">
                  <c:v>0</c:v>
                </c:pt>
                <c:pt idx="3">
                  <c:v>0.1</c:v>
                </c:pt>
                <c:pt idx="4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18-4B9B-A524-DF886B1CD0C6}"/>
            </c:ext>
          </c:extLst>
        </c:ser>
        <c:ser>
          <c:idx val="1"/>
          <c:order val="1"/>
          <c:tx>
            <c:strRef>
              <c:f>Sheet1!$B$30</c:f>
              <c:strCache>
                <c:ptCount val="1"/>
                <c:pt idx="0">
                  <c:v>NPV PA1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Sheet1!$A$31:$A$35</c:f>
              <c:numCache>
                <c:formatCode>0%</c:formatCode>
                <c:ptCount val="5"/>
                <c:pt idx="0">
                  <c:v>-0.2</c:v>
                </c:pt>
                <c:pt idx="1">
                  <c:v>-0.1</c:v>
                </c:pt>
                <c:pt idx="2">
                  <c:v>0</c:v>
                </c:pt>
                <c:pt idx="3">
                  <c:v>0.1</c:v>
                </c:pt>
                <c:pt idx="4">
                  <c:v>0.2</c:v>
                </c:pt>
              </c:numCache>
            </c:numRef>
          </c:cat>
          <c:val>
            <c:numRef>
              <c:f>Sheet1!$B$31:$B$35</c:f>
              <c:numCache>
                <c:formatCode>"$"#,##0.00_);[Red]\("$"#,##0.00\)</c:formatCode>
                <c:ptCount val="5"/>
                <c:pt idx="0">
                  <c:v>4820.5147616577015</c:v>
                </c:pt>
                <c:pt idx="1">
                  <c:v>10072.174399671119</c:v>
                </c:pt>
                <c:pt idx="2">
                  <c:v>11723.834037684539</c:v>
                </c:pt>
                <c:pt idx="3">
                  <c:v>13375.493675697959</c:v>
                </c:pt>
                <c:pt idx="4">
                  <c:v>11427.153313711378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18-4B9B-A524-DF886B1CD0C6}"/>
            </c:ext>
          </c:extLst>
        </c:ser>
        <c:ser>
          <c:idx val="2"/>
          <c:order val="2"/>
          <c:tx>
            <c:strRef>
              <c:f>Sheet1!$C$30</c:f>
              <c:strCache>
                <c:ptCount val="1"/>
                <c:pt idx="0">
                  <c:v>NPV PA2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Sheet1!$A$31:$A$35</c:f>
              <c:numCache>
                <c:formatCode>0%</c:formatCode>
                <c:ptCount val="5"/>
                <c:pt idx="0">
                  <c:v>-0.2</c:v>
                </c:pt>
                <c:pt idx="1">
                  <c:v>-0.1</c:v>
                </c:pt>
                <c:pt idx="2">
                  <c:v>0</c:v>
                </c:pt>
                <c:pt idx="3">
                  <c:v>0.1</c:v>
                </c:pt>
                <c:pt idx="4">
                  <c:v>0.2</c:v>
                </c:pt>
              </c:numCache>
            </c:numRef>
          </c:cat>
          <c:val>
            <c:numRef>
              <c:f>Sheet1!$C$31:$C$35</c:f>
              <c:numCache>
                <c:formatCode>"$"#,##0.00_);[Red]\("$"#,##0.00\)</c:formatCode>
                <c:ptCount val="5"/>
                <c:pt idx="0">
                  <c:v>1311.6087823288526</c:v>
                </c:pt>
                <c:pt idx="1">
                  <c:v>4763.2684203422714</c:v>
                </c:pt>
                <c:pt idx="2">
                  <c:v>6414.9280583556911</c:v>
                </c:pt>
                <c:pt idx="3">
                  <c:v>8066.5876963691135</c:v>
                </c:pt>
                <c:pt idx="4">
                  <c:v>7918.2473343825295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18-4B9B-A524-DF886B1CD0C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42197391"/>
        <c:axId val="2042190671"/>
      </c:lineChart>
      <c:catAx>
        <c:axId val="20421973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Mức thay đổi giá bán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190671"/>
        <c:crosses val="autoZero"/>
        <c:auto val="1"/>
        <c:lblAlgn val="ctr"/>
        <c:lblOffset val="100"/>
        <c:noMultiLvlLbl val="0"/>
      </c:catAx>
      <c:valAx>
        <c:axId val="204219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Giá trị NPV (Triệu USD)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197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Biểu đồ Dòng tiền sau thuế (CFAT)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PA1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Sheet1!$B$15:$L$15</c:f>
              <c:numCache>
                <c:formatCode>General</c:formatCode>
                <c:ptCount val="11"/>
                <c:pt idx="0">
                  <c:v>-3600</c:v>
                </c:pt>
                <c:pt idx="1">
                  <c:v>1908</c:v>
                </c:pt>
                <c:pt idx="2">
                  <c:v>1908</c:v>
                </c:pt>
                <c:pt idx="3">
                  <c:v>1908</c:v>
                </c:pt>
                <c:pt idx="4">
                  <c:v>1908</c:v>
                </c:pt>
                <c:pt idx="5">
                  <c:v>1908</c:v>
                </c:pt>
                <c:pt idx="6">
                  <c:v>1908</c:v>
                </c:pt>
                <c:pt idx="7">
                  <c:v>1908</c:v>
                </c:pt>
                <c:pt idx="8">
                  <c:v>1908</c:v>
                </c:pt>
                <c:pt idx="9">
                  <c:v>1908</c:v>
                </c:pt>
                <c:pt idx="10">
                  <c:v>1908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BD-47BD-A531-9A31232F19F7}"/>
            </c:ext>
          </c:extLst>
        </c:ser>
        <c:ser>
          <c:idx val="1"/>
          <c:order val="1"/>
          <c:tx>
            <c:v>PA2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Sheet1!$B$22:$L$22</c:f>
              <c:numCache>
                <c:formatCode>General</c:formatCode>
                <c:ptCount val="11"/>
                <c:pt idx="0">
                  <c:v>-1800</c:v>
                </c:pt>
                <c:pt idx="1">
                  <c:v>1044</c:v>
                </c:pt>
                <c:pt idx="2">
                  <c:v>180</c:v>
                </c:pt>
                <c:pt idx="3">
                  <c:v>180</c:v>
                </c:pt>
                <c:pt idx="4">
                  <c:v>180</c:v>
                </c:pt>
                <c:pt idx="5">
                  <c:v>180</c:v>
                </c:pt>
                <c:pt idx="6">
                  <c:v>180</c:v>
                </c:pt>
                <c:pt idx="7">
                  <c:v>180</c:v>
                </c:pt>
                <c:pt idx="8">
                  <c:v>180</c:v>
                </c:pt>
                <c:pt idx="9">
                  <c:v>180</c:v>
                </c:pt>
                <c:pt idx="10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BD-47BD-A531-9A31232F1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6242927"/>
        <c:axId val="1942170367"/>
      </c:barChart>
      <c:catAx>
        <c:axId val="1946242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Năm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170367"/>
        <c:crosses val="autoZero"/>
        <c:auto val="1"/>
        <c:lblAlgn val="ctr"/>
        <c:lblOffset val="100"/>
        <c:noMultiLvlLbl val="0"/>
      </c:catAx>
      <c:valAx>
        <c:axId val="194217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Dòng tiền (Triệu USD)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242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64673</xdr:colOff>
      <xdr:row>0</xdr:row>
      <xdr:rowOff>161364</xdr:rowOff>
    </xdr:from>
    <xdr:to>
      <xdr:col>21</xdr:col>
      <xdr:colOff>369473</xdr:colOff>
      <xdr:row>15</xdr:row>
      <xdr:rowOff>134470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A2C350-1CB4-3A85-BA7D-BC5D66E681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67235</xdr:colOff>
      <xdr:row>16</xdr:row>
      <xdr:rowOff>4483</xdr:rowOff>
    </xdr:from>
    <xdr:to>
      <xdr:col>21</xdr:col>
      <xdr:colOff>372035</xdr:colOff>
      <xdr:row>31</xdr:row>
      <xdr:rowOff>40342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9F95BF-EF53-0746-DB45-A608B611C5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23623-3BE7-4575-8A21-A96314C24304}">
  <dimension ref="A1:L35"/>
  <sheetViews>
    <sheetView tabSelected="1" topLeftCell="A10" zoomScale="85" zoomScaleNormal="85" workbookViewId="0">
      <selection activeCell="C31" sqref="C31"/>
    </sheetView>
  </sheetViews>
  <sheetFormatPr defaultRowHeight="14.4" x14ac:dyDescent="0.3"/>
  <cols>
    <col min="1" max="1" width="20.88671875" bestFit="1" customWidth="1"/>
    <col min="2" max="2" width="11.21875" bestFit="1" customWidth="1"/>
    <col min="3" max="3" width="11.33203125" bestFit="1" customWidth="1"/>
    <col min="4" max="4" width="9.88671875" bestFit="1" customWidth="1"/>
  </cols>
  <sheetData>
    <row r="1" spans="1:12" x14ac:dyDescent="0.3">
      <c r="A1" t="s">
        <v>0</v>
      </c>
      <c r="B1" t="s">
        <v>1</v>
      </c>
      <c r="C1" t="s">
        <v>2</v>
      </c>
    </row>
    <row r="2" spans="1:12" x14ac:dyDescent="0.3">
      <c r="A2" t="s">
        <v>3</v>
      </c>
      <c r="B2">
        <v>3600</v>
      </c>
      <c r="C2">
        <v>1800</v>
      </c>
    </row>
    <row r="3" spans="1:12" x14ac:dyDescent="0.3">
      <c r="A3" t="s">
        <v>4</v>
      </c>
      <c r="B3">
        <v>3360</v>
      </c>
      <c r="C3">
        <v>3360</v>
      </c>
    </row>
    <row r="4" spans="1:12" x14ac:dyDescent="0.3">
      <c r="A4" t="s">
        <v>5</v>
      </c>
      <c r="B4">
        <v>1065</v>
      </c>
      <c r="C4">
        <v>2100</v>
      </c>
    </row>
    <row r="5" spans="1:12" x14ac:dyDescent="0.3">
      <c r="A5" t="s">
        <v>6</v>
      </c>
      <c r="B5">
        <f>B2/10</f>
        <v>360</v>
      </c>
      <c r="C5">
        <f>C2/10</f>
        <v>180</v>
      </c>
    </row>
    <row r="6" spans="1:12" x14ac:dyDescent="0.3">
      <c r="A6" t="s">
        <v>7</v>
      </c>
      <c r="B6" s="1">
        <v>0.2</v>
      </c>
      <c r="C6" s="1">
        <v>0.2</v>
      </c>
    </row>
    <row r="7" spans="1:12" x14ac:dyDescent="0.3">
      <c r="A7" t="s">
        <v>8</v>
      </c>
      <c r="B7" s="1">
        <v>0.1</v>
      </c>
      <c r="C7" s="1">
        <v>0.1</v>
      </c>
    </row>
    <row r="10" spans="1:12" x14ac:dyDescent="0.3">
      <c r="A10" t="s">
        <v>9</v>
      </c>
      <c r="B10">
        <v>0</v>
      </c>
      <c r="C10">
        <v>1</v>
      </c>
      <c r="D10">
        <v>2</v>
      </c>
      <c r="E10">
        <v>3</v>
      </c>
      <c r="F10">
        <v>4</v>
      </c>
      <c r="G10">
        <v>5</v>
      </c>
      <c r="H10">
        <v>6</v>
      </c>
      <c r="I10">
        <v>7</v>
      </c>
      <c r="J10">
        <v>8</v>
      </c>
      <c r="K10">
        <v>9</v>
      </c>
      <c r="L10">
        <v>10</v>
      </c>
    </row>
    <row r="11" spans="1:12" x14ac:dyDescent="0.3">
      <c r="A11" t="s">
        <v>10</v>
      </c>
      <c r="B11">
        <f>-B2</f>
        <v>-3600</v>
      </c>
    </row>
    <row r="12" spans="1:12" x14ac:dyDescent="0.3">
      <c r="A12" t="s">
        <v>11</v>
      </c>
      <c r="C12">
        <f>$B$3 - $B$4 - $B$5</f>
        <v>1935</v>
      </c>
      <c r="D12">
        <f t="shared" ref="D12:L12" si="0">$B$3 - $B$4 - $B$5</f>
        <v>1935</v>
      </c>
      <c r="E12">
        <f t="shared" si="0"/>
        <v>1935</v>
      </c>
      <c r="F12">
        <f t="shared" si="0"/>
        <v>1935</v>
      </c>
      <c r="G12">
        <f t="shared" si="0"/>
        <v>1935</v>
      </c>
      <c r="H12">
        <f t="shared" si="0"/>
        <v>1935</v>
      </c>
      <c r="I12">
        <f t="shared" si="0"/>
        <v>1935</v>
      </c>
      <c r="J12">
        <f t="shared" si="0"/>
        <v>1935</v>
      </c>
      <c r="K12">
        <f t="shared" si="0"/>
        <v>1935</v>
      </c>
      <c r="L12">
        <f t="shared" si="0"/>
        <v>1935</v>
      </c>
    </row>
    <row r="13" spans="1:12" x14ac:dyDescent="0.3">
      <c r="A13" t="s">
        <v>12</v>
      </c>
      <c r="C13">
        <f>C12 * $B$6</f>
        <v>387</v>
      </c>
      <c r="D13">
        <f t="shared" ref="D13:L13" si="1">D12 * $B$6</f>
        <v>387</v>
      </c>
      <c r="E13">
        <f t="shared" si="1"/>
        <v>387</v>
      </c>
      <c r="F13">
        <f t="shared" si="1"/>
        <v>387</v>
      </c>
      <c r="G13">
        <f t="shared" si="1"/>
        <v>387</v>
      </c>
      <c r="H13">
        <f t="shared" si="1"/>
        <v>387</v>
      </c>
      <c r="I13">
        <f t="shared" si="1"/>
        <v>387</v>
      </c>
      <c r="J13">
        <f t="shared" si="1"/>
        <v>387</v>
      </c>
      <c r="K13">
        <f t="shared" si="1"/>
        <v>387</v>
      </c>
      <c r="L13">
        <f t="shared" si="1"/>
        <v>387</v>
      </c>
    </row>
    <row r="14" spans="1:12" x14ac:dyDescent="0.3">
      <c r="A14" t="s">
        <v>13</v>
      </c>
      <c r="C14">
        <f>C12 - C13</f>
        <v>1548</v>
      </c>
      <c r="D14">
        <f t="shared" ref="D14:L14" si="2">D12 - D13</f>
        <v>1548</v>
      </c>
      <c r="E14">
        <f t="shared" si="2"/>
        <v>1548</v>
      </c>
      <c r="F14">
        <f t="shared" si="2"/>
        <v>1548</v>
      </c>
      <c r="G14">
        <f t="shared" si="2"/>
        <v>1548</v>
      </c>
      <c r="H14">
        <f t="shared" si="2"/>
        <v>1548</v>
      </c>
      <c r="I14">
        <f t="shared" si="2"/>
        <v>1548</v>
      </c>
      <c r="J14">
        <f t="shared" si="2"/>
        <v>1548</v>
      </c>
      <c r="K14">
        <f t="shared" si="2"/>
        <v>1548</v>
      </c>
      <c r="L14">
        <f t="shared" si="2"/>
        <v>1548</v>
      </c>
    </row>
    <row r="15" spans="1:12" x14ac:dyDescent="0.3">
      <c r="A15" t="s">
        <v>14</v>
      </c>
      <c r="B15">
        <f>B11</f>
        <v>-3600</v>
      </c>
      <c r="C15">
        <f>C14 + $B$5</f>
        <v>1908</v>
      </c>
      <c r="D15">
        <f t="shared" ref="D15:L15" si="3">D14 + $B$5</f>
        <v>1908</v>
      </c>
      <c r="E15">
        <f t="shared" si="3"/>
        <v>1908</v>
      </c>
      <c r="F15">
        <f t="shared" si="3"/>
        <v>1908</v>
      </c>
      <c r="G15">
        <f t="shared" si="3"/>
        <v>1908</v>
      </c>
      <c r="H15">
        <f t="shared" si="3"/>
        <v>1908</v>
      </c>
      <c r="I15">
        <f t="shared" si="3"/>
        <v>1908</v>
      </c>
      <c r="J15">
        <f t="shared" si="3"/>
        <v>1908</v>
      </c>
      <c r="K15">
        <f t="shared" si="3"/>
        <v>1908</v>
      </c>
      <c r="L15">
        <f t="shared" si="3"/>
        <v>1908</v>
      </c>
    </row>
    <row r="17" spans="1:12" x14ac:dyDescent="0.3">
      <c r="A17" t="s">
        <v>9</v>
      </c>
      <c r="B17">
        <v>0</v>
      </c>
      <c r="C17">
        <v>1</v>
      </c>
      <c r="D17">
        <v>2</v>
      </c>
      <c r="E17">
        <v>3</v>
      </c>
      <c r="F17">
        <v>4</v>
      </c>
      <c r="G17">
        <v>5</v>
      </c>
      <c r="H17">
        <v>6</v>
      </c>
      <c r="I17">
        <v>7</v>
      </c>
      <c r="J17">
        <v>8</v>
      </c>
      <c r="K17">
        <v>9</v>
      </c>
      <c r="L17">
        <v>10</v>
      </c>
    </row>
    <row r="18" spans="1:12" x14ac:dyDescent="0.3">
      <c r="A18" t="s">
        <v>15</v>
      </c>
      <c r="B18">
        <f>-C2</f>
        <v>-1800</v>
      </c>
    </row>
    <row r="19" spans="1:12" ht="15" x14ac:dyDescent="0.35">
      <c r="A19" t="s">
        <v>16</v>
      </c>
      <c r="C19" s="2">
        <f>$C$3 - $C$4 - $C$5</f>
        <v>1080</v>
      </c>
    </row>
    <row r="20" spans="1:12" x14ac:dyDescent="0.3">
      <c r="A20" t="s">
        <v>17</v>
      </c>
      <c r="C20">
        <f>C19 * $C$6</f>
        <v>216</v>
      </c>
      <c r="D20">
        <f t="shared" ref="D20:L20" si="4">D19 * $C$6</f>
        <v>0</v>
      </c>
      <c r="E20">
        <f t="shared" si="4"/>
        <v>0</v>
      </c>
      <c r="F20">
        <f t="shared" si="4"/>
        <v>0</v>
      </c>
      <c r="G20">
        <f t="shared" si="4"/>
        <v>0</v>
      </c>
      <c r="H20">
        <f t="shared" si="4"/>
        <v>0</v>
      </c>
      <c r="I20">
        <f t="shared" si="4"/>
        <v>0</v>
      </c>
      <c r="J20">
        <f t="shared" si="4"/>
        <v>0</v>
      </c>
      <c r="K20">
        <f t="shared" si="4"/>
        <v>0</v>
      </c>
      <c r="L20">
        <f t="shared" si="4"/>
        <v>0</v>
      </c>
    </row>
    <row r="21" spans="1:12" x14ac:dyDescent="0.3">
      <c r="A21" t="s">
        <v>18</v>
      </c>
      <c r="C21">
        <f>C19 - C20</f>
        <v>864</v>
      </c>
    </row>
    <row r="22" spans="1:12" x14ac:dyDescent="0.3">
      <c r="A22" t="s">
        <v>19</v>
      </c>
      <c r="B22">
        <f>B18</f>
        <v>-1800</v>
      </c>
      <c r="C22">
        <f>C21 + $C$5</f>
        <v>1044</v>
      </c>
      <c r="D22">
        <f t="shared" ref="D22:L22" si="5">D21 + $C$5</f>
        <v>180</v>
      </c>
      <c r="E22">
        <f t="shared" si="5"/>
        <v>180</v>
      </c>
      <c r="F22">
        <f t="shared" si="5"/>
        <v>180</v>
      </c>
      <c r="G22">
        <f t="shared" si="5"/>
        <v>180</v>
      </c>
      <c r="H22">
        <f t="shared" si="5"/>
        <v>180</v>
      </c>
      <c r="I22">
        <f t="shared" si="5"/>
        <v>180</v>
      </c>
      <c r="J22">
        <f t="shared" si="5"/>
        <v>180</v>
      </c>
      <c r="K22">
        <f t="shared" si="5"/>
        <v>180</v>
      </c>
      <c r="L22">
        <f t="shared" si="5"/>
        <v>180</v>
      </c>
    </row>
    <row r="24" spans="1:12" x14ac:dyDescent="0.3">
      <c r="A24" t="s">
        <v>20</v>
      </c>
      <c r="B24" s="3">
        <f>NPV($B$7, C15:L15) + B15</f>
        <v>8123.8340376845299</v>
      </c>
    </row>
    <row r="25" spans="1:12" x14ac:dyDescent="0.3">
      <c r="A25" t="s">
        <v>21</v>
      </c>
      <c r="B25" s="1">
        <f>IRR(B15:L15)</f>
        <v>0.52205734463940789</v>
      </c>
    </row>
    <row r="26" spans="1:12" x14ac:dyDescent="0.3">
      <c r="A26" t="s">
        <v>22</v>
      </c>
      <c r="B26" s="3">
        <f>NPV($C$7, C22:L22) + B22</f>
        <v>91.476624481387262</v>
      </c>
    </row>
    <row r="27" spans="1:12" x14ac:dyDescent="0.3">
      <c r="A27" t="s">
        <v>23</v>
      </c>
      <c r="B27" s="1">
        <f>IRR(B22:L22)</f>
        <v>0.11763970960613368</v>
      </c>
    </row>
    <row r="30" spans="1:12" x14ac:dyDescent="0.3">
      <c r="A30" t="s">
        <v>24</v>
      </c>
      <c r="B30" t="s">
        <v>20</v>
      </c>
      <c r="C30" t="s">
        <v>22</v>
      </c>
    </row>
    <row r="31" spans="1:12" ht="15" x14ac:dyDescent="0.35">
      <c r="A31" s="1">
        <v>-0.2</v>
      </c>
      <c r="B31" s="3">
        <f>B11 + PV($B$7, 10, -((($B$3*(1+A31)) - $B$4 - $B$5)*(1-$B$6) + $B$5))</f>
        <v>4820.5147616577015</v>
      </c>
      <c r="C31" s="4">
        <f>B18 + PV($C$7, 10, -((($C$3*(1+A31)) - $C$4 - $C$5)*(1-$C$6) + $C$5))</f>
        <v>1311.6087823288526</v>
      </c>
      <c r="D31" s="3"/>
    </row>
    <row r="32" spans="1:12" ht="15" x14ac:dyDescent="0.35">
      <c r="A32" s="1">
        <v>-0.1</v>
      </c>
      <c r="B32" s="3">
        <f t="shared" ref="B32:B35" si="6">B12 + PV($B$7, 10, -((($B$3*(1+A32)) - $B$4 - $B$5)*(1-$B$6) + $B$5))</f>
        <v>10072.174399671119</v>
      </c>
      <c r="C32" s="4">
        <f t="shared" ref="C32:C35" si="7">B19 + PV($C$7, 10, -((($C$3*(1+A32)) - $C$4 - $C$5)*(1-$C$6) + $C$5))</f>
        <v>4763.2684203422714</v>
      </c>
    </row>
    <row r="33" spans="1:3" ht="15" x14ac:dyDescent="0.35">
      <c r="A33" s="1">
        <v>0</v>
      </c>
      <c r="B33" s="3">
        <f t="shared" si="6"/>
        <v>11723.834037684539</v>
      </c>
      <c r="C33" s="4">
        <f t="shared" si="7"/>
        <v>6414.9280583556911</v>
      </c>
    </row>
    <row r="34" spans="1:3" ht="15" x14ac:dyDescent="0.35">
      <c r="A34" s="1">
        <v>0.1</v>
      </c>
      <c r="B34" s="3">
        <f t="shared" si="6"/>
        <v>13375.493675697959</v>
      </c>
      <c r="C34" s="4">
        <f t="shared" si="7"/>
        <v>8066.5876963691135</v>
      </c>
    </row>
    <row r="35" spans="1:3" ht="15" x14ac:dyDescent="0.35">
      <c r="A35" s="1">
        <v>0.2</v>
      </c>
      <c r="B35" s="3">
        <f t="shared" si="6"/>
        <v>11427.153313711378</v>
      </c>
      <c r="C35" s="4">
        <f t="shared" si="7"/>
        <v>7918.2473343825295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đức phan</dc:creator>
  <cp:lastModifiedBy>đức phan</cp:lastModifiedBy>
  <dcterms:created xsi:type="dcterms:W3CDTF">2026-03-21T03:56:10Z</dcterms:created>
  <dcterms:modified xsi:type="dcterms:W3CDTF">2026-03-25T14:19:52Z</dcterms:modified>
</cp:coreProperties>
</file>