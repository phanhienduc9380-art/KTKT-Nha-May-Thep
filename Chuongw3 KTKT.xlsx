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11e20c9bedb3f7/Desktop/"/>
    </mc:Choice>
  </mc:AlternateContent>
  <xr:revisionPtr revIDLastSave="82" documentId="8_{D5AEAE58-1747-435E-9B19-DF7A36F6FAA7}" xr6:coauthVersionLast="47" xr6:coauthVersionMax="47" xr10:uidLastSave="{94644F53-C294-40CB-A590-5D3AA477A091}"/>
  <bookViews>
    <workbookView xWindow="-108" yWindow="-108" windowWidth="23256" windowHeight="12456" xr2:uid="{149DA592-ADB2-4EFF-8DB6-8FC47D9762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C21" i="1"/>
  <c r="F12" i="1"/>
  <c r="F4" i="1"/>
  <c r="F5" i="1"/>
  <c r="F6" i="1" s="1"/>
  <c r="F7" i="1" s="1"/>
  <c r="F8" i="1" s="1"/>
  <c r="F9" i="1" s="1"/>
  <c r="F10" i="1" s="1"/>
  <c r="F11" i="1" s="1"/>
  <c r="F3" i="1"/>
  <c r="F2" i="1"/>
  <c r="B19" i="1"/>
  <c r="B3" i="1"/>
  <c r="B13" i="1"/>
  <c r="B24" i="1"/>
  <c r="B25" i="1" s="1"/>
  <c r="E4" i="1"/>
  <c r="E9" i="1"/>
  <c r="E10" i="1"/>
  <c r="E11" i="1"/>
  <c r="E12" i="1"/>
  <c r="E3" i="1"/>
  <c r="E2" i="1"/>
  <c r="B27" i="1"/>
  <c r="B23" i="1"/>
  <c r="B21" i="1"/>
  <c r="D3" i="1"/>
  <c r="D4" i="1" s="1"/>
  <c r="D5" i="1" s="1"/>
  <c r="D6" i="1" s="1"/>
  <c r="D7" i="1" s="1"/>
  <c r="D8" i="1" s="1"/>
  <c r="D9" i="1" s="1"/>
  <c r="D10" i="1" s="1"/>
  <c r="D11" i="1" s="1"/>
  <c r="D12" i="1" s="1"/>
  <c r="D2" i="1"/>
  <c r="C17" i="1"/>
  <c r="C16" i="1"/>
  <c r="C15" i="1"/>
  <c r="E8" i="1"/>
  <c r="E5" i="1"/>
  <c r="E7" i="1"/>
  <c r="B18" i="1" s="1"/>
  <c r="B17" i="1"/>
  <c r="E6" i="1"/>
  <c r="B16" i="1"/>
  <c r="B15" i="1"/>
</calcChain>
</file>

<file path=xl/sharedStrings.xml><?xml version="1.0" encoding="utf-8"?>
<sst xmlns="http://schemas.openxmlformats.org/spreadsheetml/2006/main" count="18" uniqueCount="18">
  <si>
    <t>Năm</t>
  </si>
  <si>
    <t>PA1-Lò cao NCF</t>
  </si>
  <si>
    <t>PA2-Lò điện NCF</t>
  </si>
  <si>
    <t>MARR (%)</t>
  </si>
  <si>
    <t>Hiện giá PW</t>
  </si>
  <si>
    <t>Tỷ suất IRR</t>
  </si>
  <si>
    <t>San đều AW</t>
  </si>
  <si>
    <t>Cộng dồn PA1</t>
  </si>
  <si>
    <t>Thời gian hoàn vốn (năm)</t>
  </si>
  <si>
    <t>PV Lợi ích (Doanh thu)</t>
  </si>
  <si>
    <t>PV Chi phí (CAPEX + OPEX)</t>
  </si>
  <si>
    <t>Tỷ số B/C</t>
  </si>
  <si>
    <t>Điểm hòa vốn sản lượng (tấn/năm)</t>
  </si>
  <si>
    <t>Gia số (PA1 - PA2)</t>
  </si>
  <si>
    <t>Tỷ suất gia số (Delta IRR)</t>
  </si>
  <si>
    <t>Tỷ số B/C gia số (Delta B/C)</t>
  </si>
  <si>
    <t>Tổng doanh thu hằng năm TR</t>
  </si>
  <si>
    <t>Cộng dồn PA2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</si>
</sst>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Phương</a:t>
            </a:r>
            <a:r>
              <a:rPr lang="en-US" baseline="0"/>
              <a:t> án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Năm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00-4BAC-A999-378E51945741}"/>
            </c:ext>
          </c:extLst>
        </c:ser>
        <c:ser>
          <c:idx val="1"/>
          <c:order val="1"/>
          <c:tx>
            <c:v>Cộng dồn PA1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Sheet1!$D$2:$D$12</c:f>
              <c:numCache>
                <c:formatCode>General</c:formatCode>
                <c:ptCount val="11"/>
                <c:pt idx="0">
                  <c:v>-3600</c:v>
                </c:pt>
                <c:pt idx="1">
                  <c:v>-1305</c:v>
                </c:pt>
                <c:pt idx="2">
                  <c:v>990</c:v>
                </c:pt>
                <c:pt idx="3">
                  <c:v>3285</c:v>
                </c:pt>
                <c:pt idx="4">
                  <c:v>5580</c:v>
                </c:pt>
                <c:pt idx="5">
                  <c:v>7875</c:v>
                </c:pt>
                <c:pt idx="6">
                  <c:v>10170</c:v>
                </c:pt>
                <c:pt idx="7">
                  <c:v>12465</c:v>
                </c:pt>
                <c:pt idx="8">
                  <c:v>14760</c:v>
                </c:pt>
                <c:pt idx="9">
                  <c:v>17055</c:v>
                </c:pt>
                <c:pt idx="10">
                  <c:v>19350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00-4BAC-A999-378E51945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3498848"/>
        <c:axId val="1273483968"/>
      </c:lineChart>
      <c:catAx>
        <c:axId val="127349884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483968"/>
        <c:crosses val="autoZero"/>
        <c:auto val="1"/>
        <c:lblAlgn val="ctr"/>
        <c:lblOffset val="100"/>
        <c:noMultiLvlLbl val="0"/>
      </c:catAx>
      <c:valAx>
        <c:axId val="127348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4988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Phương</a:t>
            </a:r>
            <a:r>
              <a:rPr lang="en-US" baseline="0"/>
              <a:t> án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Năm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AF-41BF-87F6-F4FA11DEC273}"/>
            </c:ext>
          </c:extLst>
        </c:ser>
        <c:ser>
          <c:idx val="1"/>
          <c:order val="1"/>
          <c:tx>
            <c:v>Cộng dồn PA2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Sheet1!$F$2:$F$12</c:f>
              <c:numCache>
                <c:formatCode>General</c:formatCode>
                <c:ptCount val="11"/>
                <c:pt idx="0">
                  <c:v>-1800</c:v>
                </c:pt>
                <c:pt idx="1">
                  <c:v>-540</c:v>
                </c:pt>
                <c:pt idx="2">
                  <c:v>720</c:v>
                </c:pt>
                <c:pt idx="3">
                  <c:v>1980</c:v>
                </c:pt>
                <c:pt idx="4">
                  <c:v>3240</c:v>
                </c:pt>
                <c:pt idx="5">
                  <c:v>4500</c:v>
                </c:pt>
                <c:pt idx="6">
                  <c:v>5760</c:v>
                </c:pt>
                <c:pt idx="7">
                  <c:v>7020</c:v>
                </c:pt>
                <c:pt idx="8">
                  <c:v>8280</c:v>
                </c:pt>
                <c:pt idx="9">
                  <c:v>9540</c:v>
                </c:pt>
                <c:pt idx="10">
                  <c:v>10800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AF-41BF-87F6-F4FA11DEC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5246432"/>
        <c:axId val="685247392"/>
      </c:lineChart>
      <c:catAx>
        <c:axId val="685246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247392"/>
        <c:crosses val="autoZero"/>
        <c:auto val="1"/>
        <c:lblAlgn val="ctr"/>
        <c:lblOffset val="100"/>
        <c:noMultiLvlLbl val="0"/>
      </c:catAx>
      <c:valAx>
        <c:axId val="68524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2464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297949</xdr:colOff>
      <xdr:row>3</xdr:row>
      <xdr:rowOff>125506</xdr:rowOff>
    </xdr:from>
    <xdr:to>
      <xdr:col>13</xdr:col>
      <xdr:colOff>602749</xdr:colOff>
      <xdr:row>19</xdr:row>
      <xdr:rowOff>56926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55204D-DA2D-92C3-BD44-847B0298F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246529</xdr:colOff>
      <xdr:row>3</xdr:row>
      <xdr:rowOff>120384</xdr:rowOff>
    </xdr:from>
    <xdr:to>
      <xdr:col>21</xdr:col>
      <xdr:colOff>551329</xdr:colOff>
      <xdr:row>18</xdr:row>
      <xdr:rowOff>174171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EDB262-7666-B76E-C622-DAC1FB827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1C95B-5253-4089-8390-080DFD6EBF65}">
  <dimension ref="A1:F27"/>
  <sheetViews>
    <sheetView tabSelected="1" zoomScale="85" zoomScaleNormal="85" workbookViewId="0">
      <selection activeCell="D3" sqref="D3"/>
    </sheetView>
  </sheetViews>
  <sheetFormatPr defaultRowHeight="14.4" x14ac:dyDescent="0.3"/>
  <cols>
    <col min="1" max="1" width="28.33203125" customWidth="1"/>
    <col min="2" max="2" width="14.109375" bestFit="1" customWidth="1"/>
    <col min="3" max="3" width="14.5546875" bestFit="1" customWidth="1"/>
    <col min="4" max="4" width="12" bestFit="1" customWidth="1"/>
    <col min="5" max="5" width="15.33203125" bestFit="1" customWidth="1"/>
    <col min="6" max="6" width="12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7</v>
      </c>
      <c r="E1" t="s">
        <v>13</v>
      </c>
      <c r="F1" t="s">
        <v>17</v>
      </c>
    </row>
    <row r="2" spans="1:6" x14ac:dyDescent="0.3">
      <c r="A2">
        <v>0</v>
      </c>
      <c r="B2">
        <v>-3600</v>
      </c>
      <c r="C2">
        <v>-1800</v>
      </c>
      <c r="D2">
        <f>B2</f>
        <v>-3600</v>
      </c>
      <c r="E2">
        <f>B2 - C2</f>
        <v>-1800</v>
      </c>
      <c r="F2">
        <f>C2</f>
        <v>-1800</v>
      </c>
    </row>
    <row r="3" spans="1:6" x14ac:dyDescent="0.3">
      <c r="A3">
        <v>1</v>
      </c>
      <c r="B3">
        <f>B13-1065</f>
        <v>2295</v>
      </c>
      <c r="C3">
        <v>1260</v>
      </c>
      <c r="D3">
        <f>D2+B3</f>
        <v>-1305</v>
      </c>
      <c r="E3">
        <f>B3 - C3</f>
        <v>1035</v>
      </c>
      <c r="F3">
        <f>F2+C3</f>
        <v>-540</v>
      </c>
    </row>
    <row r="4" spans="1:6" x14ac:dyDescent="0.3">
      <c r="A4">
        <v>2</v>
      </c>
      <c r="B4">
        <v>2295</v>
      </c>
      <c r="C4">
        <v>1260</v>
      </c>
      <c r="D4">
        <f t="shared" ref="D4:D11" si="0">D3+B4</f>
        <v>990</v>
      </c>
      <c r="E4">
        <f t="shared" ref="E4:E12" si="1">B4 - C4</f>
        <v>1035</v>
      </c>
      <c r="F4">
        <f t="shared" ref="F4:F11" si="2">F3+C4</f>
        <v>720</v>
      </c>
    </row>
    <row r="5" spans="1:6" x14ac:dyDescent="0.3">
      <c r="A5">
        <v>3</v>
      </c>
      <c r="B5">
        <v>2295</v>
      </c>
      <c r="C5">
        <v>1260</v>
      </c>
      <c r="D5">
        <f t="shared" si="0"/>
        <v>3285</v>
      </c>
      <c r="E5">
        <f t="shared" si="1"/>
        <v>1035</v>
      </c>
      <c r="F5">
        <f t="shared" si="2"/>
        <v>1980</v>
      </c>
    </row>
    <row r="6" spans="1:6" x14ac:dyDescent="0.3">
      <c r="A6">
        <v>4</v>
      </c>
      <c r="B6">
        <v>2295</v>
      </c>
      <c r="C6">
        <v>1260</v>
      </c>
      <c r="D6">
        <f t="shared" si="0"/>
        <v>5580</v>
      </c>
      <c r="E6">
        <f t="shared" si="1"/>
        <v>1035</v>
      </c>
      <c r="F6">
        <f t="shared" si="2"/>
        <v>3240</v>
      </c>
    </row>
    <row r="7" spans="1:6" x14ac:dyDescent="0.3">
      <c r="A7">
        <v>5</v>
      </c>
      <c r="B7">
        <v>2295</v>
      </c>
      <c r="C7">
        <v>1260</v>
      </c>
      <c r="D7">
        <f t="shared" si="0"/>
        <v>7875</v>
      </c>
      <c r="E7">
        <f t="shared" si="1"/>
        <v>1035</v>
      </c>
      <c r="F7">
        <f t="shared" si="2"/>
        <v>4500</v>
      </c>
    </row>
    <row r="8" spans="1:6" x14ac:dyDescent="0.3">
      <c r="A8">
        <v>6</v>
      </c>
      <c r="B8">
        <v>2295</v>
      </c>
      <c r="C8">
        <v>1260</v>
      </c>
      <c r="D8">
        <f t="shared" si="0"/>
        <v>10170</v>
      </c>
      <c r="E8">
        <f t="shared" si="1"/>
        <v>1035</v>
      </c>
      <c r="F8">
        <f t="shared" si="2"/>
        <v>5760</v>
      </c>
    </row>
    <row r="9" spans="1:6" x14ac:dyDescent="0.3">
      <c r="A9">
        <v>7</v>
      </c>
      <c r="B9">
        <v>2295</v>
      </c>
      <c r="C9">
        <v>1260</v>
      </c>
      <c r="D9">
        <f t="shared" si="0"/>
        <v>12465</v>
      </c>
      <c r="E9">
        <f t="shared" si="1"/>
        <v>1035</v>
      </c>
      <c r="F9">
        <f t="shared" si="2"/>
        <v>7020</v>
      </c>
    </row>
    <row r="10" spans="1:6" x14ac:dyDescent="0.3">
      <c r="A10">
        <v>8</v>
      </c>
      <c r="B10">
        <v>2295</v>
      </c>
      <c r="C10">
        <v>1260</v>
      </c>
      <c r="D10">
        <f t="shared" si="0"/>
        <v>14760</v>
      </c>
      <c r="E10">
        <f t="shared" si="1"/>
        <v>1035</v>
      </c>
      <c r="F10">
        <f t="shared" si="2"/>
        <v>8280</v>
      </c>
    </row>
    <row r="11" spans="1:6" x14ac:dyDescent="0.3">
      <c r="A11">
        <v>9</v>
      </c>
      <c r="B11">
        <v>2295</v>
      </c>
      <c r="C11">
        <v>1260</v>
      </c>
      <c r="D11">
        <f t="shared" si="0"/>
        <v>17055</v>
      </c>
      <c r="E11">
        <f t="shared" si="1"/>
        <v>1035</v>
      </c>
      <c r="F11">
        <f t="shared" si="2"/>
        <v>9540</v>
      </c>
    </row>
    <row r="12" spans="1:6" x14ac:dyDescent="0.3">
      <c r="A12">
        <v>10</v>
      </c>
      <c r="B12">
        <v>2295</v>
      </c>
      <c r="C12">
        <v>1260</v>
      </c>
      <c r="D12">
        <f>D11+B12</f>
        <v>19350</v>
      </c>
      <c r="E12">
        <f t="shared" si="1"/>
        <v>1035</v>
      </c>
      <c r="F12">
        <f>F11+C12</f>
        <v>10800</v>
      </c>
    </row>
    <row r="13" spans="1:6" x14ac:dyDescent="0.3">
      <c r="A13" t="s">
        <v>16</v>
      </c>
      <c r="B13">
        <f>600*5.6</f>
        <v>3360</v>
      </c>
    </row>
    <row r="14" spans="1:6" x14ac:dyDescent="0.3">
      <c r="A14" t="s">
        <v>3</v>
      </c>
      <c r="B14" s="1">
        <v>0.1</v>
      </c>
    </row>
    <row r="15" spans="1:6" x14ac:dyDescent="0.3">
      <c r="A15" t="s">
        <v>4</v>
      </c>
      <c r="B15" s="2">
        <f>NPV($B$14, B3:B12) + B2</f>
        <v>10501.781507592239</v>
      </c>
      <c r="C15" s="2">
        <f>NPV($B$14, C3:C12) + C2</f>
        <v>5942.1545531878946</v>
      </c>
    </row>
    <row r="16" spans="1:6" x14ac:dyDescent="0.3">
      <c r="A16" t="s">
        <v>5</v>
      </c>
      <c r="B16" s="1">
        <f>IRR(B2:B12)</f>
        <v>0.63276586020073444</v>
      </c>
      <c r="C16" s="1">
        <f>IRR(C2:C12)</f>
        <v>0.69645451342764719</v>
      </c>
    </row>
    <row r="17" spans="1:3" x14ac:dyDescent="0.3">
      <c r="A17" t="s">
        <v>6</v>
      </c>
      <c r="B17" s="2">
        <f>-PMT($B$14, 10, B15)</f>
        <v>1709.1165784229572</v>
      </c>
      <c r="C17" s="2">
        <f>-PMT($B$14, 10, C15)</f>
        <v>967.05828921147827</v>
      </c>
    </row>
    <row r="18" spans="1:3" x14ac:dyDescent="0.3">
      <c r="A18" t="s">
        <v>14</v>
      </c>
      <c r="B18" s="1">
        <f>IRR(E2:E12)</f>
        <v>0.56862505611547709</v>
      </c>
      <c r="C18" s="1">
        <f>IRR(F2:F12)</f>
        <v>0.68278620094370446</v>
      </c>
    </row>
    <row r="19" spans="1:3" x14ac:dyDescent="0.3">
      <c r="A19" t="s">
        <v>15</v>
      </c>
      <c r="B19">
        <f xml:space="preserve"> PV(10%, 10, -1035) / 1800</f>
        <v>3.5331260857801943</v>
      </c>
    </row>
    <row r="21" spans="1:3" x14ac:dyDescent="0.3">
      <c r="A21" t="s">
        <v>8</v>
      </c>
      <c r="B21">
        <f>ABS(B2)/B3</f>
        <v>1.5686274509803921</v>
      </c>
      <c r="C21">
        <f>ABS(C2)/C3</f>
        <v>1.4285714285714286</v>
      </c>
    </row>
    <row r="23" spans="1:3" x14ac:dyDescent="0.3">
      <c r="A23" t="s">
        <v>9</v>
      </c>
      <c r="B23" s="2">
        <f>PV(B14, 10, -3360)</f>
        <v>20645.745475167743</v>
      </c>
    </row>
    <row r="24" spans="1:3" x14ac:dyDescent="0.3">
      <c r="A24" t="s">
        <v>10</v>
      </c>
      <c r="B24" s="2">
        <f>ABS(B2) + PV(B14, 10, -1065)</f>
        <v>10143.96396757549</v>
      </c>
    </row>
    <row r="25" spans="1:3" x14ac:dyDescent="0.3">
      <c r="A25" t="s">
        <v>11</v>
      </c>
      <c r="B25">
        <f>B23/B24</f>
        <v>2.0352739364178052</v>
      </c>
    </row>
    <row r="27" spans="1:3" x14ac:dyDescent="0.3">
      <c r="A27" t="s">
        <v>12</v>
      </c>
      <c r="B27">
        <f>5.6 * 0.7</f>
        <v>3.9199999999999995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phan</dc:creator>
  <cp:lastModifiedBy>đức phan</cp:lastModifiedBy>
  <dcterms:created xsi:type="dcterms:W3CDTF">2026-03-07T15:23:00Z</dcterms:created>
  <dcterms:modified xsi:type="dcterms:W3CDTF">2026-03-10T04:20:52Z</dcterms:modified>
</cp:coreProperties>
</file>