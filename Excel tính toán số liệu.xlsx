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nh tế kĩ thuật\"/>
    </mc:Choice>
  </mc:AlternateContent>
  <xr:revisionPtr revIDLastSave="0" documentId="13_ncr:1_{F3E1AEA0-F800-494C-8CDC-6B724630AE89}" xr6:coauthVersionLast="47" xr6:coauthVersionMax="47" xr10:uidLastSave="{00000000-0000-0000-0000-000000000000}"/>
  <bookViews>
    <workbookView xWindow="-108" yWindow="-108" windowWidth="23256" windowHeight="12456" xr2:uid="{149DA592-ADB2-4EFF-8DB6-8FC47D9762FA}"/>
  </bookViews>
  <sheets>
    <sheet name="chương 3" sheetId="1" r:id="rId1"/>
    <sheet name="chương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2" l="1"/>
  <c r="B38" i="2"/>
  <c r="B25" i="1"/>
  <c r="B28" i="2"/>
  <c r="B27" i="1"/>
  <c r="B24" i="1"/>
  <c r="B23" i="1"/>
  <c r="C21" i="1"/>
  <c r="B21" i="1"/>
  <c r="B19" i="1"/>
  <c r="C4" i="1"/>
  <c r="C3" i="1"/>
  <c r="B4" i="1"/>
  <c r="B3" i="1"/>
  <c r="C12" i="1"/>
  <c r="C11" i="1"/>
  <c r="C10" i="1"/>
  <c r="C9" i="1"/>
  <c r="C8" i="1"/>
  <c r="C7" i="1"/>
  <c r="C6" i="1"/>
  <c r="C5" i="1"/>
  <c r="B12" i="1"/>
  <c r="B11" i="1"/>
  <c r="B10" i="1"/>
  <c r="B9" i="1"/>
  <c r="B8" i="1"/>
  <c r="B7" i="1"/>
  <c r="B6" i="1"/>
  <c r="B5" i="1"/>
  <c r="B18" i="2"/>
  <c r="B22" i="2" s="1"/>
  <c r="B11" i="2"/>
  <c r="B15" i="2" s="1"/>
  <c r="C5" i="2"/>
  <c r="D19" i="2" s="1"/>
  <c r="B5" i="2"/>
  <c r="C12" i="2" s="1"/>
  <c r="J12" i="2" l="1"/>
  <c r="I12" i="2"/>
  <c r="H12" i="2"/>
  <c r="D12" i="2"/>
  <c r="I19" i="2"/>
  <c r="I20" i="2" s="1"/>
  <c r="I21" i="2" s="1"/>
  <c r="I22" i="2" s="1"/>
  <c r="L19" i="2"/>
  <c r="K19" i="2"/>
  <c r="J19" i="2"/>
  <c r="H19" i="2"/>
  <c r="C19" i="2"/>
  <c r="L12" i="2"/>
  <c r="G19" i="2"/>
  <c r="K12" i="2"/>
  <c r="K13" i="2" s="1"/>
  <c r="K14" i="2" s="1"/>
  <c r="K15" i="2" s="1"/>
  <c r="F19" i="2"/>
  <c r="F20" i="2" s="1"/>
  <c r="E19" i="2"/>
  <c r="G12" i="2"/>
  <c r="F12" i="2"/>
  <c r="E12" i="2"/>
  <c r="F21" i="2" l="1"/>
  <c r="F22" i="2" s="1"/>
  <c r="I13" i="2"/>
  <c r="I14" i="2" s="1"/>
  <c r="I15" i="2" s="1"/>
  <c r="G20" i="2"/>
  <c r="G21" i="2" s="1"/>
  <c r="G22" i="2" s="1"/>
  <c r="F13" i="2"/>
  <c r="F14" i="2" s="1"/>
  <c r="F15" i="2" s="1"/>
  <c r="H13" i="2"/>
  <c r="H14" i="2"/>
  <c r="H15" i="2" s="1"/>
  <c r="J13" i="2"/>
  <c r="J14" i="2" s="1"/>
  <c r="J15" i="2" s="1"/>
  <c r="D13" i="2"/>
  <c r="D14" i="2" s="1"/>
  <c r="D15" i="2" s="1"/>
  <c r="J20" i="2"/>
  <c r="J21" i="2" s="1"/>
  <c r="J22" i="2" s="1"/>
  <c r="L13" i="2"/>
  <c r="L14" i="2" s="1"/>
  <c r="L15" i="2" s="1"/>
  <c r="H20" i="2"/>
  <c r="H21" i="2" s="1"/>
  <c r="H22" i="2" s="1"/>
  <c r="G13" i="2"/>
  <c r="G14" i="2" s="1"/>
  <c r="G15" i="2" s="1"/>
  <c r="K20" i="2"/>
  <c r="K21" i="2" s="1"/>
  <c r="K22" i="2" s="1"/>
  <c r="C13" i="2"/>
  <c r="C14" i="2" s="1"/>
  <c r="C15" i="2" s="1"/>
  <c r="C20" i="2"/>
  <c r="C21" i="2" s="1"/>
  <c r="C22" i="2" s="1"/>
  <c r="E20" i="2"/>
  <c r="E21" i="2" s="1"/>
  <c r="E22" i="2" s="1"/>
  <c r="D20" i="2"/>
  <c r="D21" i="2" s="1"/>
  <c r="D22" i="2" s="1"/>
  <c r="E13" i="2"/>
  <c r="E14" i="2" s="1"/>
  <c r="E15" i="2" s="1"/>
  <c r="L20" i="2"/>
  <c r="L21" i="2" s="1"/>
  <c r="L22" i="2" s="1"/>
  <c r="F3" i="1"/>
  <c r="F2" i="1"/>
  <c r="B13" i="1"/>
  <c r="E4" i="1"/>
  <c r="E11" i="1"/>
  <c r="E12" i="1"/>
  <c r="E3" i="1"/>
  <c r="B18" i="1" s="1"/>
  <c r="E2" i="1"/>
  <c r="D3" i="1"/>
  <c r="D4" i="1" s="1"/>
  <c r="D5" i="1" s="1"/>
  <c r="D6" i="1" s="1"/>
  <c r="D2" i="1"/>
  <c r="C16" i="1"/>
  <c r="C15" i="1"/>
  <c r="C17" i="1" s="1"/>
  <c r="E5" i="1"/>
  <c r="E6" i="1"/>
  <c r="B25" i="2" l="1"/>
  <c r="F4" i="1"/>
  <c r="F5" i="1" s="1"/>
  <c r="F6" i="1" s="1"/>
  <c r="F7" i="1" s="1"/>
  <c r="F8" i="1" s="1"/>
  <c r="F9" i="1" s="1"/>
  <c r="F10" i="1" s="1"/>
  <c r="F11" i="1" s="1"/>
  <c r="F12" i="1" s="1"/>
  <c r="B27" i="2"/>
  <c r="B26" i="2"/>
  <c r="E8" i="1"/>
  <c r="B16" i="1"/>
  <c r="D7" i="1"/>
  <c r="D8" i="1" s="1"/>
  <c r="D9" i="1" s="1"/>
  <c r="D10" i="1" s="1"/>
  <c r="D11" i="1" s="1"/>
  <c r="D12" i="1" s="1"/>
  <c r="E10" i="1"/>
  <c r="E7" i="1"/>
  <c r="E9" i="1"/>
  <c r="B15" i="1"/>
  <c r="B17" i="1" s="1"/>
  <c r="C32" i="2" l="1"/>
  <c r="C33" i="2"/>
  <c r="C31" i="2"/>
  <c r="B32" i="2"/>
  <c r="B33" i="2"/>
  <c r="B31" i="2"/>
</calcChain>
</file>

<file path=xl/sharedStrings.xml><?xml version="1.0" encoding="utf-8"?>
<sst xmlns="http://schemas.openxmlformats.org/spreadsheetml/2006/main" count="78" uniqueCount="59">
  <si>
    <t>Năm</t>
  </si>
  <si>
    <t>PA1-Lò cao NCF</t>
  </si>
  <si>
    <t>PA2-Lò điện NCF</t>
  </si>
  <si>
    <t>MARR (%)</t>
  </si>
  <si>
    <t>Hiện giá PW</t>
  </si>
  <si>
    <t>Tỷ suất IRR</t>
  </si>
  <si>
    <t>San đều AW</t>
  </si>
  <si>
    <t>Cộng dồn PA1</t>
  </si>
  <si>
    <t>Thời gian hoàn vốn (năm)</t>
  </si>
  <si>
    <t>PV Lợi ích (Doanh thu)</t>
  </si>
  <si>
    <t>PV Chi phí (CAPEX + OPEX)</t>
  </si>
  <si>
    <t>Tỷ số B/C</t>
  </si>
  <si>
    <t>Điểm hòa vốn sản lượng (tấn/năm)</t>
  </si>
  <si>
    <t>Gia số (PA1 - PA2)</t>
  </si>
  <si>
    <t>Tỷ suất gia số (Delta IRR)</t>
  </si>
  <si>
    <t>Tỷ số B/C gia số (Delta B/C)</t>
  </si>
  <si>
    <t>Tổng doanh thu hằng năm TR</t>
  </si>
  <si>
    <t>Cộng dồn PA2</t>
  </si>
  <si>
    <t>Thông số</t>
  </si>
  <si>
    <t xml:space="preserve">PA1 ̣̣̣̣(Lò cao) </t>
  </si>
  <si>
    <t>PA2 (Lò điện)</t>
  </si>
  <si>
    <t>Vốn đầu tư (I0)</t>
  </si>
  <si>
    <t>Doanh thu hàng năm (TR)</t>
  </si>
  <si>
    <t>OPEX hàng năm</t>
  </si>
  <si>
    <t>Khấu hao mỗi năm</t>
  </si>
  <si>
    <t>Thuế TNDN (%)</t>
  </si>
  <si>
    <t>Dòng tiền ra (I0 PA1)</t>
  </si>
  <si>
    <t>Thu nhập chịu thuế PA1</t>
  </si>
  <si>
    <t>Thuế TNDN PA1</t>
  </si>
  <si>
    <t>Lợi nhuận ròng PA1</t>
  </si>
  <si>
    <t>DÒNG TIỀN CFAT PA1</t>
  </si>
  <si>
    <t>Dòng tiền ra (I0 PA2)</t>
  </si>
  <si>
    <t>Thu nhập chịu thuế PA2</t>
  </si>
  <si>
    <t>Thuế TNDN PA2</t>
  </si>
  <si>
    <t>Lợi nhuận ròng PA2</t>
  </si>
  <si>
    <t>DÒNG TIỀN CFAT PA2</t>
  </si>
  <si>
    <t>NPV PA1</t>
  </si>
  <si>
    <t>IRR PA1</t>
  </si>
  <si>
    <t>NPV PA2</t>
  </si>
  <si>
    <t>IRR PA2</t>
  </si>
  <si>
    <t>Mức biến động giá</t>
  </si>
  <si>
    <t>Tỷ lệ gia tăng doanh thu</t>
  </si>
  <si>
    <t>Tỷ lệ tăng chi phí</t>
  </si>
  <si>
    <t>Hiệu suất hoạt động</t>
  </si>
  <si>
    <t>Column1</t>
  </si>
  <si>
    <t>Column2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</si>
  <si>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</si>
  <si>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</si>
  <si>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</si>
  <si>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</si>
  <si>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</si>
  <si>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</si>
  <si>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</si>
  <si>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</si>
  <si>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</si>
  <si>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</si>
  <si>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</si>
  <si>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B/C PA1</t>
  </si>
  <si>
    <t>B/C 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</si>
</sst>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8" fontId="0" fillId="0" borderId="0" xfId="0" applyNumberFormat="1"/>
    <xf numFmtId="8" fontId="1" fillId="0" borderId="0" xfId="0" applyNumberFormat="1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0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Phương</a:t>
            </a:r>
            <a:r>
              <a:rPr lang="en-US" baseline="0"/>
              <a:t> án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Năm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'chương 3'!$A$2:$A$12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4BAC-A999-378E51945741}"/>
            </c:ext>
          </c:extLst>
        </c:ser>
        <c:ser>
          <c:idx val="1"/>
          <c:order val="1"/>
          <c:tx>
            <c:v>Cộng dồn PA1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'chương 3'!$D$2:$D$12</c:f>
              <c:numCache>
                <c:formatCode>0.0</c:formatCode>
                <c:ptCount val="11"/>
                <c:pt idx="0">
                  <c:v>-3600</c:v>
                </c:pt>
                <c:pt idx="1">
                  <c:v>-1305</c:v>
                </c:pt>
                <c:pt idx="2">
                  <c:v>1069.5</c:v>
                </c:pt>
                <c:pt idx="3">
                  <c:v>3526.098</c:v>
                </c:pt>
                <c:pt idx="4">
                  <c:v>6067.4741999999997</c:v>
                </c:pt>
                <c:pt idx="5">
                  <c:v>8696.3935511999989</c:v>
                </c:pt>
                <c:pt idx="6">
                  <c:v>11415.708385439997</c:v>
                </c:pt>
                <c:pt idx="7">
                  <c:v>14228.361125261277</c:v>
                </c:pt>
                <c:pt idx="8">
                  <c:v>17137.387077042356</c:v>
                </c:pt>
                <c:pt idx="9">
                  <c:v>20145.917309737335</c:v>
                </c:pt>
                <c:pt idx="10">
                  <c:v>23257.181621820833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0-4BAC-A999-378E5194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498848"/>
        <c:axId val="1273483968"/>
      </c:lineChart>
      <c:catAx>
        <c:axId val="12734988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83968"/>
        <c:crosses val="autoZero"/>
        <c:auto val="1"/>
        <c:lblAlgn val="ctr"/>
        <c:lblOffset val="100"/>
        <c:noMultiLvlLbl val="0"/>
      </c:catAx>
      <c:valAx>
        <c:axId val="12734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98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Phương</a:t>
            </a:r>
            <a:r>
              <a:rPr lang="en-US" baseline="0"/>
              <a:t> án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Năm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'chương 3'!$A$2:$A$12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F-41BF-87F6-F4FA11DEC273}"/>
            </c:ext>
          </c:extLst>
        </c:ser>
        <c:ser>
          <c:idx val="1"/>
          <c:order val="1"/>
          <c:tx>
            <c:v>Cộng dồn PA2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'chương 3'!$F$2:$F$12</c:f>
              <c:numCache>
                <c:formatCode>0.0</c:formatCode>
                <c:ptCount val="11"/>
                <c:pt idx="0">
                  <c:v>-1800</c:v>
                </c:pt>
                <c:pt idx="1">
                  <c:v>-540</c:v>
                </c:pt>
                <c:pt idx="2">
                  <c:v>778.80000000000018</c:v>
                </c:pt>
                <c:pt idx="3">
                  <c:v>2158.5839999999998</c:v>
                </c:pt>
                <c:pt idx="4">
                  <c:v>3601.6099199999999</c:v>
                </c:pt>
                <c:pt idx="5">
                  <c:v>5110.211985599999</c:v>
                </c:pt>
                <c:pt idx="6">
                  <c:v>6686.8031885279979</c:v>
                </c:pt>
                <c:pt idx="7">
                  <c:v>8333.8778244110381</c:v>
                </c:pt>
                <c:pt idx="8">
                  <c:v>10054.014110175114</c:v>
                </c:pt>
                <c:pt idx="9">
                  <c:v>11849.876883532746</c:v>
                </c:pt>
                <c:pt idx="10">
                  <c:v>13724.220387092155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F-41BF-87F6-F4FA11DE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246432"/>
        <c:axId val="685247392"/>
      </c:lineChart>
      <c:catAx>
        <c:axId val="68524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47392"/>
        <c:crosses val="autoZero"/>
        <c:auto val="1"/>
        <c:lblAlgn val="ctr"/>
        <c:lblOffset val="100"/>
        <c:noMultiLvlLbl val="0"/>
      </c:catAx>
      <c:valAx>
        <c:axId val="6852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46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Biểu đồ phân tích độ nhạy của NPV theo sự biến động giá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'chương 4'!$A$30</c:f>
              <c:strCache>
                <c:ptCount val="1"/>
                <c:pt idx="0">
                  <c:v>Mức biến động giá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'chương 4'!$A$31:$A$33</c:f>
              <c:numCache>
                <c:formatCode>0.0</c:formatCode>
                <c:ptCount val="3"/>
                <c:pt idx="0">
                  <c:v>-0.1</c:v>
                </c:pt>
                <c:pt idx="1">
                  <c:v>0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A-4078-9B34-93E13CF6FE56}"/>
            </c:ext>
          </c:extLst>
        </c:ser>
        <c:ser>
          <c:idx val="1"/>
          <c:order val="1"/>
          <c:tx>
            <c:strRef>
              <c:f>'chương 4'!$B$30</c:f>
              <c:strCache>
                <c:ptCount val="1"/>
                <c:pt idx="0">
                  <c:v>NPV PA1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'chương 4'!$B$31:$B$33</c:f>
              <c:numCache>
                <c:formatCode>General</c:formatCode>
                <c:ptCount val="3"/>
                <c:pt idx="0">
                  <c:v>7850.7965813726942</c:v>
                </c:pt>
                <c:pt idx="1">
                  <c:v>9701.1468855881485</c:v>
                </c:pt>
                <c:pt idx="2">
                  <c:v>11551.497189803604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A-4078-9B34-93E13CF6FE56}"/>
            </c:ext>
          </c:extLst>
        </c:ser>
        <c:ser>
          <c:idx val="2"/>
          <c:order val="2"/>
          <c:tx>
            <c:strRef>
              <c:f>'chương 4'!$C$30</c:f>
              <c:strCache>
                <c:ptCount val="1"/>
                <c:pt idx="0">
                  <c:v>NPV PA2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'chương 4'!$C$31:$C$33</c:f>
              <c:numCache>
                <c:formatCode>General</c:formatCode>
                <c:ptCount val="3"/>
                <c:pt idx="0">
                  <c:v>3943.8346418459159</c:v>
                </c:pt>
                <c:pt idx="1">
                  <c:v>5794.1849460613703</c:v>
                </c:pt>
                <c:pt idx="2">
                  <c:v>7644.5352502768246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0A-4078-9B34-93E13CF6FE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2029375"/>
        <c:axId val="1282037535"/>
      </c:lineChart>
      <c:catAx>
        <c:axId val="128202937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282037535"/>
        <c:crosses val="autoZero"/>
        <c:auto val="1"/>
        <c:lblAlgn val="ctr"/>
        <c:lblOffset val="100"/>
        <c:noMultiLvlLbl val="0"/>
      </c:catAx>
      <c:valAx>
        <c:axId val="12820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2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Bảng</a:t>
            </a:r>
            <a:r>
              <a:rPr lang="en-US" baseline="0"/>
              <a:t> dòng tiền cfat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'chương 4'!$A$15</c:f>
              <c:strCache>
                <c:ptCount val="1"/>
                <c:pt idx="0">
                  <c:v>DÒNG TIỀN CFAT PA1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'chương 4'!$B$10:$L$10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</c:strCache>
            </c:strRef>
          </c:cat>
          <c:val>
            <c:numRef>
              <c:f>'chương 4'!$B$15:$L$15</c:f>
              <c:numCache>
                <c:formatCode>0.0</c:formatCode>
                <c:ptCount val="11"/>
                <c:pt idx="0">
                  <c:v>-3600</c:v>
                </c:pt>
                <c:pt idx="1">
                  <c:v>1908</c:v>
                </c:pt>
                <c:pt idx="2">
                  <c:v>1971.6</c:v>
                </c:pt>
                <c:pt idx="3">
                  <c:v>2037.2783999999999</c:v>
                </c:pt>
                <c:pt idx="4">
                  <c:v>2105.1009599999998</c:v>
                </c:pt>
                <c:pt idx="5">
                  <c:v>2175.1354809599998</c:v>
                </c:pt>
                <c:pt idx="6">
                  <c:v>2247.4518673919993</c:v>
                </c:pt>
                <c:pt idx="7">
                  <c:v>2322.1221918570236</c:v>
                </c:pt>
                <c:pt idx="8">
                  <c:v>2399.2207614248641</c:v>
                </c:pt>
                <c:pt idx="9">
                  <c:v>2478.8241861559814</c:v>
                </c:pt>
                <c:pt idx="10">
                  <c:v>2561.0114496668002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83-46E7-9B55-6A786BA8D750}"/>
            </c:ext>
          </c:extLst>
        </c:ser>
        <c:ser>
          <c:idx val="6"/>
          <c:order val="6"/>
          <c:tx>
            <c:v>Năm</c:v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Ref>
              <c:f>'chương 4'!$B$10:$L$10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</c:strCache>
            </c:strRef>
          </c:cat>
          <c:val>
            <c:numRef>
              <c:f>'chương 4'!$B$10:$L$10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83-46E7-9B55-6A786BA8D750}"/>
            </c:ext>
          </c:extLst>
        </c:ser>
        <c:ser>
          <c:idx val="11"/>
          <c:order val="11"/>
          <c:tx>
            <c:strRef>
              <c:f>'chương 4'!$A$22</c:f>
              <c:strCache>
                <c:ptCount val="1"/>
                <c:pt idx="0">
                  <c:v>DÒNG TIỀN CFAT PA2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strRef>
              <c:f>'chương 4'!$B$10:$L$10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</c:strCache>
            </c:strRef>
          </c:cat>
          <c:val>
            <c:numRef>
              <c:f>'chương 4'!$B$22:$L$22</c:f>
              <c:numCache>
                <c:formatCode>0.0</c:formatCode>
                <c:ptCount val="11"/>
                <c:pt idx="0">
                  <c:v>-1800</c:v>
                </c:pt>
                <c:pt idx="1">
                  <c:v>1044</c:v>
                </c:pt>
                <c:pt idx="2">
                  <c:v>1091.0400000000002</c:v>
                </c:pt>
                <c:pt idx="3">
                  <c:v>1139.8271999999997</c:v>
                </c:pt>
                <c:pt idx="4">
                  <c:v>1190.420736</c:v>
                </c:pt>
                <c:pt idx="5">
                  <c:v>1242.8816524799997</c:v>
                </c:pt>
                <c:pt idx="6">
                  <c:v>1297.2729623423995</c:v>
                </c:pt>
                <c:pt idx="7">
                  <c:v>1353.6597087064317</c:v>
                </c:pt>
                <c:pt idx="8">
                  <c:v>1412.1090286112601</c:v>
                </c:pt>
                <c:pt idx="9">
                  <c:v>1472.6902186861057</c:v>
                </c:pt>
                <c:pt idx="10">
                  <c:v>1535.4748028475271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483-46E7-9B55-6A786BA8D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36602879"/>
        <c:axId val="736610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'chương 4'!$A$11</c15:sqref>
                        </c15:formulaRef>
                      </c:ext>
                    </c:extLst>
                    <c:strCache>
                      <c:ptCount val="1"/>
                      <c:pt idx="0">
                        <c:v>Dòng tiền ra (I0 PA1)</c:v>
                      </c:pt>
                    </c:strCache>
                  </c:strRef>
                </c:tx>
                <c:spPr>
                  <a:pattFill prst="narHorz">
                    <a:fgClr>
                      <a:schemeClr val="accent1"/>
                    </a:fgClr>
                    <a:bgClr>
                      <a:schemeClr val="accent1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1"/>
                    </a:inn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'chương 4'!$B$11:$L$11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-3600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483-46E7-9B55-6A786BA8D75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4'!$A$12</c15:sqref>
                        </c15:formulaRef>
                      </c:ext>
                    </c:extLst>
                    <c:strCache>
                      <c:ptCount val="1"/>
                      <c:pt idx="0">
                        <c:v>Thu nhập chịu thuế PA1</c:v>
                      </c:pt>
                    </c:strCache>
                  </c:strRef>
                </c:tx>
                <c:spPr>
                  <a:pattFill prst="narHorz">
                    <a:fgClr>
                      <a:schemeClr val="accent2"/>
                    </a:fgClr>
                    <a:bgClr>
                      <a:schemeClr val="accent2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2"/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4'!$B$12:$L$12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1935</c:v>
                      </c:pt>
                      <c:pt idx="2">
                        <c:v>2014.5</c:v>
                      </c:pt>
                      <c:pt idx="3">
                        <c:v>2096.598</c:v>
                      </c:pt>
                      <c:pt idx="4">
                        <c:v>2181.3761999999997</c:v>
                      </c:pt>
                      <c:pt idx="5">
                        <c:v>2268.9193511999997</c:v>
                      </c:pt>
                      <c:pt idx="6">
                        <c:v>2359.3148342399991</c:v>
                      </c:pt>
                      <c:pt idx="7">
                        <c:v>2452.6527398212797</c:v>
                      </c:pt>
                      <c:pt idx="8">
                        <c:v>2549.02595178108</c:v>
                      </c:pt>
                      <c:pt idx="9">
                        <c:v>2648.5302326949768</c:v>
                      </c:pt>
                      <c:pt idx="10">
                        <c:v>2751.2643120835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483-46E7-9B55-6A786BA8D75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4'!$A$13</c15:sqref>
                        </c15:formulaRef>
                      </c:ext>
                    </c:extLst>
                    <c:strCache>
                      <c:ptCount val="1"/>
                      <c:pt idx="0">
                        <c:v>Thuế TNDN PA1</c:v>
                      </c:pt>
                    </c:strCache>
                  </c:strRef>
                </c:tx>
                <c:spPr>
                  <a:pattFill prst="narHorz">
                    <a:fgClr>
                      <a:schemeClr val="accent3"/>
                    </a:fgClr>
                    <a:bgClr>
                      <a:schemeClr val="accent3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3"/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4'!$B$13:$L$13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387</c:v>
                      </c:pt>
                      <c:pt idx="2">
                        <c:v>402.90000000000003</c:v>
                      </c:pt>
                      <c:pt idx="3">
                        <c:v>419.31960000000004</c:v>
                      </c:pt>
                      <c:pt idx="4">
                        <c:v>436.27523999999994</c:v>
                      </c:pt>
                      <c:pt idx="5">
                        <c:v>453.78387023999994</c:v>
                      </c:pt>
                      <c:pt idx="6">
                        <c:v>471.86296684799981</c:v>
                      </c:pt>
                      <c:pt idx="7">
                        <c:v>490.53054796425596</c:v>
                      </c:pt>
                      <c:pt idx="8">
                        <c:v>509.80519035621603</c:v>
                      </c:pt>
                      <c:pt idx="9">
                        <c:v>529.70604653899534</c:v>
                      </c:pt>
                      <c:pt idx="10">
                        <c:v>550.25286241670005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483-46E7-9B55-6A786BA8D75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4'!$A$14</c15:sqref>
                        </c15:formulaRef>
                      </c:ext>
                    </c:extLst>
                    <c:strCache>
                      <c:ptCount val="1"/>
                      <c:pt idx="0">
                        <c:v>Lợi nhuận ròng PA1</c:v>
                      </c:pt>
                    </c:strCache>
                  </c:strRef>
                </c:tx>
                <c:spPr>
                  <a:pattFill prst="narHorz">
                    <a:fgClr>
                      <a:schemeClr val="accent4"/>
                    </a:fgClr>
                    <a:bgClr>
                      <a:schemeClr val="accent4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4"/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4'!$B$14:$L$14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1548</c:v>
                      </c:pt>
                      <c:pt idx="2">
                        <c:v>1611.6</c:v>
                      </c:pt>
                      <c:pt idx="3">
                        <c:v>1677.2783999999999</c:v>
                      </c:pt>
                      <c:pt idx="4">
                        <c:v>1745.1009599999998</c:v>
                      </c:pt>
                      <c:pt idx="5">
                        <c:v>1815.1354809599998</c:v>
                      </c:pt>
                      <c:pt idx="6">
                        <c:v>1887.4518673919993</c:v>
                      </c:pt>
                      <c:pt idx="7">
                        <c:v>1962.1221918570238</c:v>
                      </c:pt>
                      <c:pt idx="8">
                        <c:v>2039.2207614248641</c:v>
                      </c:pt>
                      <c:pt idx="9">
                        <c:v>2118.8241861559814</c:v>
                      </c:pt>
                      <c:pt idx="10">
                        <c:v>2201.0114496668002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483-46E7-9B55-6A786BA8D75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pattFill prst="narHorz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/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4'!$B$16:$L$16</c15:sqref>
                        </c15:formulaRef>
                      </c:ext>
                    </c:extLst>
                    <c:numCache>
                      <c:formatCode>0.0</c:formatCode>
                      <c:ptCount val="1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483-46E7-9B55-6A786BA8D75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4'!$A$18</c15:sqref>
                        </c15:formulaRef>
                      </c:ext>
                    </c:extLst>
                    <c:strCache>
                      <c:ptCount val="1"/>
                      <c:pt idx="0">
                        <c:v>Dòng tiền ra (I0 PA2)</c:v>
                      </c:pt>
                    </c:strCache>
                  </c:strRef>
                </c:tx>
                <c:spPr>
                  <a:pattFill prst="narHorz">
                    <a:fgClr>
                      <a:schemeClr val="accent2">
                        <a:lumMod val="60000"/>
                      </a:schemeClr>
                    </a:fgClr>
                    <a:bgClr>
                      <a:schemeClr val="accent2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2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4'!$B$18:$L$18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-1800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483-46E7-9B55-6A786BA8D75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4'!$A$19</c15:sqref>
                        </c15:formulaRef>
                      </c:ext>
                    </c:extLst>
                    <c:strCache>
                      <c:ptCount val="1"/>
                      <c:pt idx="0">
                        <c:v>Thu nhập chịu thuế PA2</c:v>
                      </c:pt>
                    </c:strCache>
                  </c:strRef>
                </c:tx>
                <c:spPr>
                  <a:pattFill prst="narHorz">
                    <a:fgClr>
                      <a:schemeClr val="accent3">
                        <a:lumMod val="60000"/>
                      </a:schemeClr>
                    </a:fgClr>
                    <a:bgClr>
                      <a:schemeClr val="accent3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3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4'!$B$19:$L$19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1080</c:v>
                      </c:pt>
                      <c:pt idx="2">
                        <c:v>1138.8000000000002</c:v>
                      </c:pt>
                      <c:pt idx="3">
                        <c:v>1199.7839999999997</c:v>
                      </c:pt>
                      <c:pt idx="4">
                        <c:v>1263.02592</c:v>
                      </c:pt>
                      <c:pt idx="5">
                        <c:v>1328.6020655999996</c:v>
                      </c:pt>
                      <c:pt idx="6">
                        <c:v>1396.5912029279993</c:v>
                      </c:pt>
                      <c:pt idx="7">
                        <c:v>1467.0746358830397</c:v>
                      </c:pt>
                      <c:pt idx="8">
                        <c:v>1540.1362857640752</c:v>
                      </c:pt>
                      <c:pt idx="9">
                        <c:v>1615.8627733576322</c:v>
                      </c:pt>
                      <c:pt idx="10">
                        <c:v>1694.3435035594089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483-46E7-9B55-6A786BA8D75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4'!$A$20</c15:sqref>
                        </c15:formulaRef>
                      </c:ext>
                    </c:extLst>
                    <c:strCache>
                      <c:ptCount val="1"/>
                      <c:pt idx="0">
                        <c:v>Thuế TNDN PA2</c:v>
                      </c:pt>
                    </c:strCache>
                  </c:strRef>
                </c:tx>
                <c:spPr>
                  <a:pattFill prst="narHorz">
                    <a:fgClr>
                      <a:schemeClr val="accent4">
                        <a:lumMod val="60000"/>
                      </a:schemeClr>
                    </a:fgClr>
                    <a:bgClr>
                      <a:schemeClr val="accent4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4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4'!$B$20:$L$20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216</c:v>
                      </c:pt>
                      <c:pt idx="2">
                        <c:v>227.76000000000005</c:v>
                      </c:pt>
                      <c:pt idx="3">
                        <c:v>239.95679999999993</c:v>
                      </c:pt>
                      <c:pt idx="4">
                        <c:v>252.60518400000001</c:v>
                      </c:pt>
                      <c:pt idx="5">
                        <c:v>265.72041311999993</c:v>
                      </c:pt>
                      <c:pt idx="6">
                        <c:v>279.31824058559988</c:v>
                      </c:pt>
                      <c:pt idx="7">
                        <c:v>293.41492717660793</c:v>
                      </c:pt>
                      <c:pt idx="8">
                        <c:v>308.02725715281508</c:v>
                      </c:pt>
                      <c:pt idx="9">
                        <c:v>323.17255467152648</c:v>
                      </c:pt>
                      <c:pt idx="10">
                        <c:v>338.86870071188179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483-46E7-9B55-6A786BA8D75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4'!$A$21</c15:sqref>
                        </c15:formulaRef>
                      </c:ext>
                    </c:extLst>
                    <c:strCache>
                      <c:ptCount val="1"/>
                      <c:pt idx="0">
                        <c:v>Lợi nhuận ròng PA2</c:v>
                      </c:pt>
                    </c:strCache>
                  </c:strRef>
                </c:tx>
                <c:spPr>
                  <a:pattFill prst="narHorz">
                    <a:fgClr>
                      <a:schemeClr val="accent5">
                        <a:lumMod val="60000"/>
                      </a:schemeClr>
                    </a:fgClr>
                    <a:bgClr>
                      <a:schemeClr val="accent5">
                        <a:lumMod val="60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5">
                        <a:lumMod val="60000"/>
                      </a:schemeClr>
                    </a:inn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4'!$B$10:$L$10</c15:sqref>
                        </c15:formulaRef>
                      </c:ext>
                    </c:extLst>
                    <c:strCache>
                      <c:ptCount val="11"/>
                      <c:pt idx="0">
                        <c:v>0.0</c:v>
                      </c:pt>
                      <c:pt idx="1">
                        <c:v>1.0</c:v>
                      </c:pt>
                      <c:pt idx="2">
                        <c:v>2.0</c:v>
                      </c:pt>
                      <c:pt idx="3">
                        <c:v>3.0</c:v>
                      </c:pt>
                      <c:pt idx="4">
                        <c:v>4.0</c:v>
                      </c:pt>
                      <c:pt idx="5">
                        <c:v>5.0</c:v>
                      </c:pt>
                      <c:pt idx="6">
                        <c:v>6.0</c:v>
                      </c:pt>
                      <c:pt idx="7">
                        <c:v>7.0</c:v>
                      </c:pt>
                      <c:pt idx="8">
                        <c:v>8.0</c:v>
                      </c:pt>
                      <c:pt idx="9">
                        <c:v>9.0</c:v>
                      </c:pt>
                      <c:pt idx="10">
                        <c:v>10.0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'chương 4'!$B$21:$L$21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1">
                        <c:v>864</c:v>
                      </c:pt>
                      <c:pt idx="2">
                        <c:v>911.04000000000019</c:v>
                      </c:pt>
                      <c:pt idx="3">
                        <c:v>959.82719999999972</c:v>
                      </c:pt>
                      <c:pt idx="4">
                        <c:v>1010.420736</c:v>
                      </c:pt>
                      <c:pt idx="5">
                        <c:v>1062.8816524799997</c:v>
                      </c:pt>
                      <c:pt idx="6">
                        <c:v>1117.2729623423995</c:v>
                      </c:pt>
                      <c:pt idx="7">
                        <c:v>1173.6597087064317</c:v>
                      </c:pt>
                      <c:pt idx="8">
                        <c:v>1232.1090286112601</c:v>
                      </c:pt>
                      <c:pt idx="9">
                        <c:v>1292.6902186861057</c:v>
                      </c:pt>
                      <c:pt idx="10">
                        <c:v>1355.4748028475271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483-46E7-9B55-6A786BA8D750}"/>
                  </c:ext>
                </c:extLst>
              </c15:ser>
            </c15:filteredBarSeries>
          </c:ext>
        </c:extLst>
      </c:barChart>
      <c:catAx>
        <c:axId val="7366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10079"/>
        <c:crosses val="autoZero"/>
        <c:auto val="1"/>
        <c:lblAlgn val="ctr"/>
        <c:lblOffset val="100"/>
        <c:noMultiLvlLbl val="0"/>
      </c:catAx>
      <c:valAx>
        <c:axId val="736610079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570092</xdr:colOff>
      <xdr:row>17</xdr:row>
      <xdr:rowOff>169049</xdr:rowOff>
    </xdr:from>
    <xdr:to>
      <xdr:col>14</xdr:col>
      <xdr:colOff>228600</xdr:colOff>
      <xdr:row>33</xdr:row>
      <xdr:rowOff>100469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5204D-DA2D-92C3-BD44-847B0298F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213871</xdr:colOff>
      <xdr:row>0</xdr:row>
      <xdr:rowOff>0</xdr:rowOff>
    </xdr:from>
    <xdr:to>
      <xdr:col>19</xdr:col>
      <xdr:colOff>191460</xdr:colOff>
      <xdr:row>15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EDB262-7666-B76E-C622-DAC1FB827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552609</xdr:colOff>
      <xdr:row>29</xdr:row>
      <xdr:rowOff>19210</xdr:rowOff>
    </xdr:from>
    <xdr:to>
      <xdr:col>11</xdr:col>
      <xdr:colOff>182495</xdr:colOff>
      <xdr:row>43</xdr:row>
      <xdr:rowOff>149838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E67838-6F91-B23C-AFCA-051A588F2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511629</xdr:colOff>
      <xdr:row>3</xdr:row>
      <xdr:rowOff>54429</xdr:rowOff>
    </xdr:from>
    <xdr:to>
      <xdr:col>22</xdr:col>
      <xdr:colOff>206829</xdr:colOff>
      <xdr:row>18</xdr:row>
      <xdr:rowOff>21771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FB6607-6658-3B15-6626-97037693E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D56BB-C606-4218-8533-6CC3D44A2756}" name="Table1" displayName="Table1" ref="A1:F12" totalsRowShown="0">
  <autoFilter ref="A1:F12" xr:uid="{DE3D56BB-C606-4218-8533-6CC3D44A2756}"/>
  <tableColumns count="6">
    <tableColumn id="1" xr3:uid="{A346FCFA-6592-48E4-9FD6-36AAE4CDEC9D}" name="Năm"/>
    <tableColumn id="2" xr3:uid="{D8CE1DD7-5244-4BC5-973B-B7EBA3435B1E}" name="PA1-Lò cao NCF" dataDxfId="4">
      <calculatedColumnFormula>($B$13*$B$33*1.03^(A2-1))-(1065*1.02^(A2-1))</calculatedColumnFormula>
    </tableColumn>
    <tableColumn id="3" xr3:uid="{204FE923-1902-40A7-BE73-49F6686AEAB2}" name="PA2-Lò điện NCF" dataDxfId="3">
      <calculatedColumnFormula>($B$13*$B$33*1.03^(A2-1))-(2100*1.02^(A2-1))</calculatedColumnFormula>
    </tableColumn>
    <tableColumn id="4" xr3:uid="{D4D0EDD8-4E40-456A-A466-6F8904438B76}" name="Cộng dồn PA1" dataDxfId="2">
      <calculatedColumnFormula>D1+B2</calculatedColumnFormula>
    </tableColumn>
    <tableColumn id="5" xr3:uid="{37DB2B2D-3E73-43F8-8BE0-087375255071}" name="Gia số (PA1 - PA2)" dataDxfId="1">
      <calculatedColumnFormula>B2 - C2</calculatedColumnFormula>
    </tableColumn>
    <tableColumn id="6" xr3:uid="{35007EE5-DA37-49E1-A690-BC88DB490921}" name="Cộng dồn PA2" dataDxfId="0">
      <calculatedColumnFormula>F1+C2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DA04B5-0F53-4379-B60A-88937EA53CDE}" name="Table5" displayName="Table5" ref="A1:C7" totalsRowShown="0" headerRowDxfId="39">
  <autoFilter ref="A1:C7" xr:uid="{69DA04B5-0F53-4379-B60A-88937EA53CDE}"/>
  <tableColumns count="3">
    <tableColumn id="1" xr3:uid="{8A9C2F3B-2864-4DAD-8656-476765F1A5CA}" name="Thông số" dataDxfId="38"/>
    <tableColumn id="2" xr3:uid="{BB38FE97-D2F2-4F4D-855C-A2AE81957A7A}" name="PA1 ̣̣̣̣(Lò cao) " dataDxfId="37"/>
    <tableColumn id="3" xr3:uid="{6A83D95B-A002-474D-9C49-70FB3315258B}" name="PA2 (Lò điện)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BE3103-2714-48B5-941B-A67B518BAD3A}" name="Table6" displayName="Table6" ref="A10:L15" totalsRowShown="0" headerRowDxfId="35">
  <autoFilter ref="A10:L15" xr:uid="{A0BE3103-2714-48B5-941B-A67B518BAD3A}"/>
  <tableColumns count="12">
    <tableColumn id="1" xr3:uid="{8DC704CB-A7E4-438B-AC4C-DADDECDBFC0E}" name="Năm" dataDxfId="34"/>
    <tableColumn id="2" xr3:uid="{AD1FDF53-7CC2-4A57-BF84-FE8F88B1AD2E}" name="0.0" dataDxfId="33"/>
    <tableColumn id="3" xr3:uid="{B19FE87B-7EFA-4E39-8B0F-51599F006EC9}" name="1.0" dataDxfId="32"/>
    <tableColumn id="4" xr3:uid="{D673F8FD-5511-4383-9B61-A799792907C5}" name="2.0" dataDxfId="31"/>
    <tableColumn id="5" xr3:uid="{077F28B6-5885-4DBA-982A-451F3465F12B}" name="3.0" dataDxfId="30"/>
    <tableColumn id="6" xr3:uid="{2B717C2A-C825-4F8B-9968-20D373962748}" name="4.0" dataDxfId="29"/>
    <tableColumn id="7" xr3:uid="{7FC8010D-2BAB-4F8F-B4F9-651C14287070}" name="5.0" dataDxfId="28"/>
    <tableColumn id="8" xr3:uid="{B2CF04AA-46EA-4DB1-AFD9-63A761A91596}" name="6.0" dataDxfId="27"/>
    <tableColumn id="9" xr3:uid="{3B06ACF1-1FEF-4619-9085-3C6DAC3B80AA}" name="7.0" dataDxfId="26"/>
    <tableColumn id="10" xr3:uid="{D634C472-3734-41C5-A8C7-287316E05D0B}" name="8.0" dataDxfId="25"/>
    <tableColumn id="11" xr3:uid="{21AFBC9C-ADB0-4457-A8C4-1611732BAB17}" name="9.0" dataDxfId="24"/>
    <tableColumn id="12" xr3:uid="{4ECD068C-199A-4471-8C5A-436DB45C5378}" name="10.0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F08570-4523-4E55-B4D7-40816DCE9BCD}" name="Table7" displayName="Table7" ref="A17:L22" totalsRowShown="0" headerRowDxfId="22">
  <autoFilter ref="A17:L22" xr:uid="{DCF08570-4523-4E55-B4D7-40816DCE9BCD}"/>
  <tableColumns count="12">
    <tableColumn id="1" xr3:uid="{63933FE8-F425-4C55-BC11-F8DD0F5E913A}" name="Năm" dataDxfId="21"/>
    <tableColumn id="2" xr3:uid="{2BECC8FA-2A63-4908-AA0F-CA67073E517C}" name="0.0" dataDxfId="20"/>
    <tableColumn id="3" xr3:uid="{B0364597-5796-4D9A-A338-0D355B62FF90}" name="1.0" dataDxfId="19"/>
    <tableColumn id="4" xr3:uid="{E13C0098-F4E7-42CC-AC2D-7E28A89813F1}" name="2.0" dataDxfId="18"/>
    <tableColumn id="5" xr3:uid="{4F4F7E72-20EA-4F54-84A2-201F07439554}" name="3.0" dataDxfId="17"/>
    <tableColumn id="6" xr3:uid="{7DC5FECC-E46B-464E-9CB7-29CD4BF05344}" name="4.0" dataDxfId="16"/>
    <tableColumn id="7" xr3:uid="{B3EF8446-B0C9-4F90-BD51-1AAC54BD2416}" name="5.0" dataDxfId="15"/>
    <tableColumn id="8" xr3:uid="{5B8F88D2-CF31-4510-8C51-5562AD66C61D}" name="6.0" dataDxfId="14"/>
    <tableColumn id="9" xr3:uid="{E80799F4-85A6-43B1-97B3-2D2A93F40802}" name="7.0" dataDxfId="13"/>
    <tableColumn id="10" xr3:uid="{14B83E7F-70DB-4A5F-8857-1638576A367C}" name="8.0" dataDxfId="12"/>
    <tableColumn id="11" xr3:uid="{A26CB34D-F292-4DD8-9C8F-BA54BD7E18EB}" name="9.0" dataDxfId="11"/>
    <tableColumn id="12" xr3:uid="{244ABC3F-F285-4035-8974-AFE69C41D100}" name="10.0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EA0014-C83C-4BF7-8EFD-C6ACD4FB6E57}" name="Table8" displayName="Table8" ref="A24:B28" totalsRowShown="0" headerRowDxfId="9">
  <autoFilter ref="A24:B28" xr:uid="{AAEA0014-C83C-4BF7-8EFD-C6ACD4FB6E57}"/>
  <tableColumns count="2">
    <tableColumn id="1" xr3:uid="{7810AF9D-B241-4E6F-A9F9-F8C484DABEF5}" name="Column1" dataDxfId="8"/>
    <tableColumn id="2" xr3:uid="{1411D0F9-FB69-4211-A79C-63AC59B71D1A}" name="Column2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B02CBB-7443-4F62-A8C3-351301A3B396}" name="Table9" displayName="Table9" ref="A30:C33" totalsRowShown="0" headerRowDxfId="6">
  <autoFilter ref="A30:C33" xr:uid="{CCB02CBB-7443-4F62-A8C3-351301A3B396}"/>
  <tableColumns count="3">
    <tableColumn id="1" xr3:uid="{1355D9DB-AD39-435A-A508-A0B1FF5E8C3E}" name="Mức biến động giá" dataDxfId="5"/>
    <tableColumn id="2" xr3:uid="{221FEAB7-5AB2-4B39-9320-D530F0CBB8C4}" name="NPV PA1">
      <calculatedColumnFormula>$B$25 + ($B$3 * $A31 * (1 - $B$6)) * (1 - ((1+$B$36)/(1+$B$7))^10) / ($B$7 - $B$36)</calculatedColumnFormula>
    </tableColumn>
    <tableColumn id="3" xr3:uid="{7DBD92C5-647C-4E74-90A8-FA8CF2F9715D}" name="NPV PA2">
      <calculatedColumnFormula>$B$27 + ($C$3 * $A31 * (1 - $C$6)) * (1 - ((1+$B$36)/(1+$C$7))^10) / ($C$7 - $B$36)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C95B-5253-4089-8390-080DFD6EBF65}">
  <dimension ref="A1:F33"/>
  <sheetViews>
    <sheetView tabSelected="1" zoomScale="70" zoomScaleNormal="70" workbookViewId="0">
      <selection activeCell="B14" sqref="B14"/>
    </sheetView>
  </sheetViews>
  <sheetFormatPr defaultRowHeight="14.4" x14ac:dyDescent="0.3"/>
  <cols>
    <col min="1" max="1" width="28.33203125" customWidth="1"/>
    <col min="2" max="2" width="16.21875" customWidth="1"/>
    <col min="3" max="3" width="17" customWidth="1"/>
    <col min="4" max="4" width="14.77734375" customWidth="1"/>
    <col min="5" max="5" width="17.6640625" customWidth="1"/>
    <col min="6" max="6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</v>
      </c>
      <c r="E1" t="s">
        <v>13</v>
      </c>
      <c r="F1" t="s">
        <v>17</v>
      </c>
    </row>
    <row r="2" spans="1:6" x14ac:dyDescent="0.3">
      <c r="A2">
        <v>0</v>
      </c>
      <c r="B2" s="4">
        <v>-3600</v>
      </c>
      <c r="C2" s="4">
        <v>-1800</v>
      </c>
      <c r="D2" s="4">
        <f>B2</f>
        <v>-3600</v>
      </c>
      <c r="E2" s="4">
        <f>B2 - C2</f>
        <v>-1800</v>
      </c>
      <c r="F2" s="4">
        <f>C2</f>
        <v>-1800</v>
      </c>
    </row>
    <row r="3" spans="1:6" x14ac:dyDescent="0.3">
      <c r="A3">
        <v>1</v>
      </c>
      <c r="B3" s="4">
        <f>($B$13*$B$33)-1065</f>
        <v>2295</v>
      </c>
      <c r="C3" s="4">
        <f>($B$13*$B$33)-2100</f>
        <v>1260</v>
      </c>
      <c r="D3" s="4">
        <f>D2+B3</f>
        <v>-1305</v>
      </c>
      <c r="E3" s="4">
        <f>B3 - C3</f>
        <v>1035</v>
      </c>
      <c r="F3" s="4">
        <f>F2+C3</f>
        <v>-540</v>
      </c>
    </row>
    <row r="4" spans="1:6" x14ac:dyDescent="0.3">
      <c r="A4">
        <v>2</v>
      </c>
      <c r="B4" s="4">
        <f>($B$13*$B$33*1.03)-(1065*1.02)</f>
        <v>2374.5</v>
      </c>
      <c r="C4" s="4">
        <f>($B$13*$B$33*1.03)-(2100*1.02)</f>
        <v>1318.8000000000002</v>
      </c>
      <c r="D4" s="4">
        <f t="shared" ref="D4:D11" si="0">D3+B4</f>
        <v>1069.5</v>
      </c>
      <c r="E4" s="4">
        <f t="shared" ref="E4:E12" si="1">B4 - C4</f>
        <v>1055.6999999999998</v>
      </c>
      <c r="F4" s="4">
        <f t="shared" ref="F4:F11" si="2">F3+C4</f>
        <v>778.80000000000018</v>
      </c>
    </row>
    <row r="5" spans="1:6" x14ac:dyDescent="0.3">
      <c r="A5">
        <v>3</v>
      </c>
      <c r="B5" s="4">
        <f>($B$13*$B$33*1.03^(A5-1))-(1065*1.02^(A5-1))</f>
        <v>2456.598</v>
      </c>
      <c r="C5" s="4">
        <f>($B$13*$B$33*1.03^(A5-1))-(2100*1.02^(A5-1))</f>
        <v>1379.7839999999997</v>
      </c>
      <c r="D5" s="4">
        <f t="shared" si="0"/>
        <v>3526.098</v>
      </c>
      <c r="E5" s="4">
        <f t="shared" si="1"/>
        <v>1076.8140000000003</v>
      </c>
      <c r="F5" s="4">
        <f t="shared" si="2"/>
        <v>2158.5839999999998</v>
      </c>
    </row>
    <row r="6" spans="1:6" x14ac:dyDescent="0.3">
      <c r="A6">
        <v>4</v>
      </c>
      <c r="B6" s="4">
        <f t="shared" ref="B6:B12" si="3">($B$13*$B$33*1.03^(A6-1))-(1065*1.02^(A6-1))</f>
        <v>2541.3761999999997</v>
      </c>
      <c r="C6" s="4">
        <f t="shared" ref="C6:C12" si="4">($B$13*$B$33*1.03^(A6-1))-(2100*1.02^(A6-1))</f>
        <v>1443.02592</v>
      </c>
      <c r="D6" s="4">
        <f t="shared" si="0"/>
        <v>6067.4741999999997</v>
      </c>
      <c r="E6" s="4">
        <f t="shared" si="1"/>
        <v>1098.3502799999997</v>
      </c>
      <c r="F6" s="4">
        <f t="shared" si="2"/>
        <v>3601.6099199999999</v>
      </c>
    </row>
    <row r="7" spans="1:6" x14ac:dyDescent="0.3">
      <c r="A7">
        <v>5</v>
      </c>
      <c r="B7" s="4">
        <f t="shared" si="3"/>
        <v>2628.9193511999997</v>
      </c>
      <c r="C7" s="4">
        <f t="shared" si="4"/>
        <v>1508.6020655999996</v>
      </c>
      <c r="D7" s="4">
        <f t="shared" si="0"/>
        <v>8696.3935511999989</v>
      </c>
      <c r="E7" s="4">
        <f t="shared" si="1"/>
        <v>1120.3172856000001</v>
      </c>
      <c r="F7" s="4">
        <f t="shared" si="2"/>
        <v>5110.211985599999</v>
      </c>
    </row>
    <row r="8" spans="1:6" x14ac:dyDescent="0.3">
      <c r="A8">
        <v>6</v>
      </c>
      <c r="B8" s="4">
        <f t="shared" si="3"/>
        <v>2719.3148342399991</v>
      </c>
      <c r="C8" s="4">
        <f t="shared" si="4"/>
        <v>1576.5912029279993</v>
      </c>
      <c r="D8" s="4">
        <f t="shared" si="0"/>
        <v>11415.708385439997</v>
      </c>
      <c r="E8" s="4">
        <f t="shared" si="1"/>
        <v>1142.7236313119997</v>
      </c>
      <c r="F8" s="4">
        <f t="shared" si="2"/>
        <v>6686.8031885279979</v>
      </c>
    </row>
    <row r="9" spans="1:6" x14ac:dyDescent="0.3">
      <c r="A9">
        <v>7</v>
      </c>
      <c r="B9" s="4">
        <f t="shared" si="3"/>
        <v>2812.6527398212797</v>
      </c>
      <c r="C9" s="4">
        <f t="shared" si="4"/>
        <v>1647.0746358830397</v>
      </c>
      <c r="D9" s="4">
        <f t="shared" si="0"/>
        <v>14228.361125261277</v>
      </c>
      <c r="E9" s="4">
        <f t="shared" si="1"/>
        <v>1165.57810393824</v>
      </c>
      <c r="F9" s="4">
        <f t="shared" si="2"/>
        <v>8333.8778244110381</v>
      </c>
    </row>
    <row r="10" spans="1:6" x14ac:dyDescent="0.3">
      <c r="A10">
        <v>8</v>
      </c>
      <c r="B10" s="4">
        <f t="shared" si="3"/>
        <v>2909.02595178108</v>
      </c>
      <c r="C10" s="4">
        <f t="shared" si="4"/>
        <v>1720.1362857640752</v>
      </c>
      <c r="D10" s="4">
        <f t="shared" si="0"/>
        <v>17137.387077042356</v>
      </c>
      <c r="E10" s="4">
        <f t="shared" si="1"/>
        <v>1188.8896660170049</v>
      </c>
      <c r="F10" s="4">
        <f t="shared" si="2"/>
        <v>10054.014110175114</v>
      </c>
    </row>
    <row r="11" spans="1:6" x14ac:dyDescent="0.3">
      <c r="A11">
        <v>9</v>
      </c>
      <c r="B11" s="4">
        <f t="shared" si="3"/>
        <v>3008.5302326949768</v>
      </c>
      <c r="C11" s="4">
        <f t="shared" si="4"/>
        <v>1795.8627733576322</v>
      </c>
      <c r="D11" s="4">
        <f t="shared" si="0"/>
        <v>20145.917309737335</v>
      </c>
      <c r="E11" s="4">
        <f t="shared" si="1"/>
        <v>1212.6674593373446</v>
      </c>
      <c r="F11" s="4">
        <f t="shared" si="2"/>
        <v>11849.876883532746</v>
      </c>
    </row>
    <row r="12" spans="1:6" x14ac:dyDescent="0.3">
      <c r="A12">
        <v>10</v>
      </c>
      <c r="B12" s="4">
        <f t="shared" si="3"/>
        <v>3111.2643120835</v>
      </c>
      <c r="C12" s="4">
        <f t="shared" si="4"/>
        <v>1874.3435035594089</v>
      </c>
      <c r="D12" s="4">
        <f>D11+B12</f>
        <v>23257.181621820833</v>
      </c>
      <c r="E12" s="4">
        <f t="shared" si="1"/>
        <v>1236.9208085240912</v>
      </c>
      <c r="F12" s="4">
        <f>F11+C12</f>
        <v>13724.220387092155</v>
      </c>
    </row>
    <row r="13" spans="1:6" x14ac:dyDescent="0.3">
      <c r="A13" t="s">
        <v>16</v>
      </c>
      <c r="B13">
        <f>600*5.6</f>
        <v>3360</v>
      </c>
    </row>
    <row r="14" spans="1:6" x14ac:dyDescent="0.3">
      <c r="A14" t="s">
        <v>3</v>
      </c>
      <c r="B14" s="1">
        <v>0.1</v>
      </c>
    </row>
    <row r="15" spans="1:6" x14ac:dyDescent="0.3">
      <c r="A15" t="s">
        <v>4</v>
      </c>
      <c r="B15" s="2">
        <f>NPV($B$14, B3:B12) + B2</f>
        <v>12473.422567471765</v>
      </c>
      <c r="C15" s="2">
        <f>NPV($B$14, C3:C12) + C2</f>
        <v>7416.225662820003</v>
      </c>
    </row>
    <row r="16" spans="1:6" x14ac:dyDescent="0.3">
      <c r="A16" t="s">
        <v>5</v>
      </c>
      <c r="B16" s="1">
        <f>IRR(B2:B12)</f>
        <v>0.66663636804338977</v>
      </c>
      <c r="C16" s="1">
        <f>IRR(C2:C12)</f>
        <v>0.74185970433121651</v>
      </c>
    </row>
    <row r="17" spans="1:3" x14ac:dyDescent="0.3">
      <c r="A17" t="s">
        <v>6</v>
      </c>
      <c r="B17" s="2">
        <f>PMT($B$14, 10, -B15)</f>
        <v>2029.9920812796242</v>
      </c>
      <c r="C17" s="2">
        <f>PMT($B$14, 10, -C15)</f>
        <v>1206.9565740334579</v>
      </c>
    </row>
    <row r="18" spans="1:3" x14ac:dyDescent="0.3">
      <c r="A18" t="s">
        <v>14</v>
      </c>
      <c r="B18" s="1">
        <f>IRR(E2:E12)</f>
        <v>0.58813244115205587</v>
      </c>
      <c r="C18" s="1"/>
    </row>
    <row r="19" spans="1:3" x14ac:dyDescent="0.3">
      <c r="A19" t="s">
        <v>15</v>
      </c>
      <c r="B19">
        <f>NPV(B14, E3:E12) / ABS(E2)</f>
        <v>3.8095538359176464</v>
      </c>
    </row>
    <row r="21" spans="1:3" x14ac:dyDescent="0.3">
      <c r="A21" t="s">
        <v>8</v>
      </c>
      <c r="B21">
        <f xml:space="preserve"> 1 + ABS(D3) / B4</f>
        <v>1.5495893872394189</v>
      </c>
      <c r="C21">
        <f xml:space="preserve"> 1 + ABS(F3) / C4</f>
        <v>1.4094631483166515</v>
      </c>
    </row>
    <row r="23" spans="1:3" x14ac:dyDescent="0.3">
      <c r="A23" t="s">
        <v>9</v>
      </c>
      <c r="B23">
        <f xml:space="preserve"> B13 * (1 - ((1+B29)/(1+B14))^10) / (B14 - B29)</f>
        <v>23129.37880269318</v>
      </c>
    </row>
    <row r="24" spans="1:3" x14ac:dyDescent="0.3">
      <c r="A24" t="s">
        <v>10</v>
      </c>
      <c r="B24">
        <f xml:space="preserve"> ABS(B2) + (B13-B3) * (1 - ((1+B30)/(1+B14))^10) / (B14 - B30)</f>
        <v>10655.956235221387</v>
      </c>
    </row>
    <row r="25" spans="1:3" x14ac:dyDescent="0.3">
      <c r="A25" t="s">
        <v>11</v>
      </c>
      <c r="B25">
        <f>B23/B24</f>
        <v>2.1705587271692326</v>
      </c>
    </row>
    <row r="27" spans="1:3" x14ac:dyDescent="0.3">
      <c r="A27" t="s">
        <v>12</v>
      </c>
      <c r="B27">
        <f>5.6 * 0.7</f>
        <v>3.9199999999999995</v>
      </c>
    </row>
    <row r="29" spans="1:3" x14ac:dyDescent="0.3">
      <c r="A29" t="s">
        <v>41</v>
      </c>
      <c r="B29" s="1">
        <v>0.03</v>
      </c>
    </row>
    <row r="30" spans="1:3" x14ac:dyDescent="0.3">
      <c r="A30" t="s">
        <v>42</v>
      </c>
      <c r="B30" s="1">
        <v>0.02</v>
      </c>
    </row>
    <row r="31" spans="1:3" x14ac:dyDescent="0.3">
      <c r="B31" s="1"/>
    </row>
    <row r="32" spans="1:3" x14ac:dyDescent="0.3">
      <c r="B32" s="1"/>
    </row>
    <row r="33" spans="1:2" x14ac:dyDescent="0.3">
      <c r="A33" t="s">
        <v>43</v>
      </c>
      <c r="B33" s="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9764-DA09-4B20-8C32-E19028FB1183}">
  <dimension ref="A1:L40"/>
  <sheetViews>
    <sheetView topLeftCell="A16" zoomScale="55" zoomScaleNormal="55" workbookViewId="0">
      <selection activeCell="B39" sqref="B39"/>
    </sheetView>
  </sheetViews>
  <sheetFormatPr defaultRowHeight="14.4" x14ac:dyDescent="0.3"/>
  <cols>
    <col min="1" max="1" width="22.21875" bestFit="1" customWidth="1"/>
    <col min="2" max="2" width="13.6640625" customWidth="1"/>
    <col min="3" max="3" width="14.109375" customWidth="1"/>
    <col min="4" max="4" width="9.88671875" bestFit="1" customWidth="1"/>
  </cols>
  <sheetData>
    <row r="1" spans="1:12" x14ac:dyDescent="0.3">
      <c r="A1" s="4" t="s">
        <v>18</v>
      </c>
      <c r="B1" s="4" t="s">
        <v>19</v>
      </c>
      <c r="C1" s="4" t="s">
        <v>20</v>
      </c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4" t="s">
        <v>21</v>
      </c>
      <c r="B2" s="4">
        <v>3600</v>
      </c>
      <c r="C2" s="4">
        <v>1800</v>
      </c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4" t="s">
        <v>22</v>
      </c>
      <c r="B3" s="4">
        <v>3360</v>
      </c>
      <c r="C3" s="4">
        <v>3360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4" t="s">
        <v>23</v>
      </c>
      <c r="B4" s="4">
        <v>1065</v>
      </c>
      <c r="C4" s="4">
        <v>2100</v>
      </c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4" t="s">
        <v>24</v>
      </c>
      <c r="B5" s="4">
        <f>B2/10</f>
        <v>360</v>
      </c>
      <c r="C5" s="4">
        <f>C2/10</f>
        <v>180</v>
      </c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4" t="s">
        <v>25</v>
      </c>
      <c r="B6" s="4">
        <v>0.2</v>
      </c>
      <c r="C6" s="4">
        <v>0.2</v>
      </c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 t="s">
        <v>3</v>
      </c>
      <c r="B7" s="4">
        <v>0.1</v>
      </c>
      <c r="C7" s="4">
        <v>0.1</v>
      </c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 t="s">
        <v>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55</v>
      </c>
      <c r="L10" s="4" t="s">
        <v>56</v>
      </c>
    </row>
    <row r="11" spans="1:12" x14ac:dyDescent="0.3">
      <c r="A11" s="4" t="s">
        <v>26</v>
      </c>
      <c r="B11" s="4">
        <f>-B2</f>
        <v>-3600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 t="s">
        <v>27</v>
      </c>
      <c r="B12" s="4"/>
      <c r="C12" s="4">
        <f t="shared" ref="C12:L12" si="0">$B$3 * (1 + 3%)^(C$10 - 1) - $B$4 * (1 + 2%)^(C$10 - 1) - $B$5</f>
        <v>1935</v>
      </c>
      <c r="D12" s="4">
        <f t="shared" si="0"/>
        <v>2014.5</v>
      </c>
      <c r="E12" s="4">
        <f t="shared" si="0"/>
        <v>2096.598</v>
      </c>
      <c r="F12" s="4">
        <f t="shared" si="0"/>
        <v>2181.3761999999997</v>
      </c>
      <c r="G12" s="4">
        <f t="shared" si="0"/>
        <v>2268.9193511999997</v>
      </c>
      <c r="H12" s="4">
        <f t="shared" si="0"/>
        <v>2359.3148342399991</v>
      </c>
      <c r="I12" s="4">
        <f t="shared" si="0"/>
        <v>2452.6527398212797</v>
      </c>
      <c r="J12" s="4">
        <f t="shared" si="0"/>
        <v>2549.02595178108</v>
      </c>
      <c r="K12" s="4">
        <f t="shared" si="0"/>
        <v>2648.5302326949768</v>
      </c>
      <c r="L12" s="4">
        <f t="shared" si="0"/>
        <v>2751.2643120835</v>
      </c>
    </row>
    <row r="13" spans="1:12" x14ac:dyDescent="0.3">
      <c r="A13" s="4" t="s">
        <v>28</v>
      </c>
      <c r="B13" s="4"/>
      <c r="C13" s="4">
        <f t="shared" ref="C13:L13" si="1">C12 * $B$6</f>
        <v>387</v>
      </c>
      <c r="D13" s="4">
        <f t="shared" si="1"/>
        <v>402.90000000000003</v>
      </c>
      <c r="E13" s="4">
        <f t="shared" si="1"/>
        <v>419.31960000000004</v>
      </c>
      <c r="F13" s="4">
        <f t="shared" si="1"/>
        <v>436.27523999999994</v>
      </c>
      <c r="G13" s="4">
        <f t="shared" si="1"/>
        <v>453.78387023999994</v>
      </c>
      <c r="H13" s="4">
        <f t="shared" si="1"/>
        <v>471.86296684799981</v>
      </c>
      <c r="I13" s="4">
        <f t="shared" si="1"/>
        <v>490.53054796425596</v>
      </c>
      <c r="J13" s="4">
        <f t="shared" si="1"/>
        <v>509.80519035621603</v>
      </c>
      <c r="K13" s="4">
        <f t="shared" si="1"/>
        <v>529.70604653899534</v>
      </c>
      <c r="L13" s="4">
        <f t="shared" si="1"/>
        <v>550.25286241670005</v>
      </c>
    </row>
    <row r="14" spans="1:12" x14ac:dyDescent="0.3">
      <c r="A14" s="4" t="s">
        <v>29</v>
      </c>
      <c r="B14" s="4"/>
      <c r="C14" s="4">
        <f>C12 - C13</f>
        <v>1548</v>
      </c>
      <c r="D14" s="4">
        <f t="shared" ref="D14:L14" si="2">D12 - D13</f>
        <v>1611.6</v>
      </c>
      <c r="E14" s="4">
        <f t="shared" si="2"/>
        <v>1677.2783999999999</v>
      </c>
      <c r="F14" s="4">
        <f t="shared" si="2"/>
        <v>1745.1009599999998</v>
      </c>
      <c r="G14" s="4">
        <f t="shared" si="2"/>
        <v>1815.1354809599998</v>
      </c>
      <c r="H14" s="4">
        <f t="shared" si="2"/>
        <v>1887.4518673919993</v>
      </c>
      <c r="I14" s="4">
        <f t="shared" si="2"/>
        <v>1962.1221918570238</v>
      </c>
      <c r="J14" s="4">
        <f t="shared" si="2"/>
        <v>2039.2207614248641</v>
      </c>
      <c r="K14" s="4">
        <f t="shared" si="2"/>
        <v>2118.8241861559814</v>
      </c>
      <c r="L14" s="4">
        <f t="shared" si="2"/>
        <v>2201.0114496668002</v>
      </c>
    </row>
    <row r="15" spans="1:12" x14ac:dyDescent="0.3">
      <c r="A15" s="4" t="s">
        <v>30</v>
      </c>
      <c r="B15" s="4">
        <f>B11</f>
        <v>-3600</v>
      </c>
      <c r="C15" s="4">
        <f t="shared" ref="C15:L15" si="3">C14 + $B$5</f>
        <v>1908</v>
      </c>
      <c r="D15" s="4">
        <f t="shared" si="3"/>
        <v>1971.6</v>
      </c>
      <c r="E15" s="4">
        <f t="shared" si="3"/>
        <v>2037.2783999999999</v>
      </c>
      <c r="F15" s="4">
        <f t="shared" si="3"/>
        <v>2105.1009599999998</v>
      </c>
      <c r="G15" s="4">
        <f t="shared" si="3"/>
        <v>2175.1354809599998</v>
      </c>
      <c r="H15" s="4">
        <f t="shared" si="3"/>
        <v>2247.4518673919993</v>
      </c>
      <c r="I15" s="4">
        <f t="shared" si="3"/>
        <v>2322.1221918570236</v>
      </c>
      <c r="J15" s="4">
        <f t="shared" si="3"/>
        <v>2399.2207614248641</v>
      </c>
      <c r="K15" s="4">
        <f t="shared" si="3"/>
        <v>2478.8241861559814</v>
      </c>
      <c r="L15" s="4">
        <f t="shared" si="3"/>
        <v>2561.0114496668002</v>
      </c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 t="s">
        <v>0</v>
      </c>
      <c r="B17" s="4" t="s">
        <v>46</v>
      </c>
      <c r="C17" s="4" t="s">
        <v>47</v>
      </c>
      <c r="D17" s="4" t="s">
        <v>48</v>
      </c>
      <c r="E17" s="4" t="s">
        <v>49</v>
      </c>
      <c r="F17" s="4" t="s">
        <v>50</v>
      </c>
      <c r="G17" s="4" t="s">
        <v>51</v>
      </c>
      <c r="H17" s="4" t="s">
        <v>52</v>
      </c>
      <c r="I17" s="4" t="s">
        <v>53</v>
      </c>
      <c r="J17" s="4" t="s">
        <v>54</v>
      </c>
      <c r="K17" s="4" t="s">
        <v>55</v>
      </c>
      <c r="L17" s="4" t="s">
        <v>56</v>
      </c>
    </row>
    <row r="18" spans="1:12" x14ac:dyDescent="0.3">
      <c r="A18" s="4" t="s">
        <v>31</v>
      </c>
      <c r="B18" s="4">
        <f>-C2</f>
        <v>-1800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 t="s">
        <v>32</v>
      </c>
      <c r="B19" s="4"/>
      <c r="C19" s="4">
        <f t="shared" ref="C19:L19" si="4">$C$3 * (1 + 3%)^(C$17 - 1) - $C$4 * (1 + 2%)^(C$17 - 1) - $C$5</f>
        <v>1080</v>
      </c>
      <c r="D19" s="4">
        <f t="shared" si="4"/>
        <v>1138.8000000000002</v>
      </c>
      <c r="E19" s="4">
        <f t="shared" si="4"/>
        <v>1199.7839999999997</v>
      </c>
      <c r="F19" s="4">
        <f t="shared" si="4"/>
        <v>1263.02592</v>
      </c>
      <c r="G19" s="4">
        <f t="shared" si="4"/>
        <v>1328.6020655999996</v>
      </c>
      <c r="H19" s="4">
        <f t="shared" si="4"/>
        <v>1396.5912029279993</v>
      </c>
      <c r="I19" s="4">
        <f t="shared" si="4"/>
        <v>1467.0746358830397</v>
      </c>
      <c r="J19" s="4">
        <f t="shared" si="4"/>
        <v>1540.1362857640752</v>
      </c>
      <c r="K19" s="4">
        <f t="shared" si="4"/>
        <v>1615.8627733576322</v>
      </c>
      <c r="L19" s="4">
        <f t="shared" si="4"/>
        <v>1694.3435035594089</v>
      </c>
    </row>
    <row r="20" spans="1:12" x14ac:dyDescent="0.3">
      <c r="A20" s="4" t="s">
        <v>33</v>
      </c>
      <c r="B20" s="4"/>
      <c r="C20" s="4">
        <f t="shared" ref="C20:L20" si="5">C19 * $C$6</f>
        <v>216</v>
      </c>
      <c r="D20" s="4">
        <f t="shared" si="5"/>
        <v>227.76000000000005</v>
      </c>
      <c r="E20" s="4">
        <f t="shared" si="5"/>
        <v>239.95679999999993</v>
      </c>
      <c r="F20" s="4">
        <f t="shared" si="5"/>
        <v>252.60518400000001</v>
      </c>
      <c r="G20" s="4">
        <f t="shared" si="5"/>
        <v>265.72041311999993</v>
      </c>
      <c r="H20" s="4">
        <f t="shared" si="5"/>
        <v>279.31824058559988</v>
      </c>
      <c r="I20" s="4">
        <f t="shared" si="5"/>
        <v>293.41492717660793</v>
      </c>
      <c r="J20" s="4">
        <f t="shared" si="5"/>
        <v>308.02725715281508</v>
      </c>
      <c r="K20" s="4">
        <f t="shared" si="5"/>
        <v>323.17255467152648</v>
      </c>
      <c r="L20" s="4">
        <f t="shared" si="5"/>
        <v>338.86870071188179</v>
      </c>
    </row>
    <row r="21" spans="1:12" x14ac:dyDescent="0.3">
      <c r="A21" s="4" t="s">
        <v>34</v>
      </c>
      <c r="B21" s="4"/>
      <c r="C21" s="4">
        <f>C19 - C20</f>
        <v>864</v>
      </c>
      <c r="D21" s="4">
        <f t="shared" ref="D21:L21" si="6">D19 - D20</f>
        <v>911.04000000000019</v>
      </c>
      <c r="E21" s="4">
        <f t="shared" si="6"/>
        <v>959.82719999999972</v>
      </c>
      <c r="F21" s="4">
        <f t="shared" si="6"/>
        <v>1010.420736</v>
      </c>
      <c r="G21" s="4">
        <f t="shared" si="6"/>
        <v>1062.8816524799997</v>
      </c>
      <c r="H21" s="4">
        <f t="shared" si="6"/>
        <v>1117.2729623423995</v>
      </c>
      <c r="I21" s="4">
        <f t="shared" si="6"/>
        <v>1173.6597087064317</v>
      </c>
      <c r="J21" s="4">
        <f t="shared" si="6"/>
        <v>1232.1090286112601</v>
      </c>
      <c r="K21" s="4">
        <f t="shared" si="6"/>
        <v>1292.6902186861057</v>
      </c>
      <c r="L21" s="4">
        <f t="shared" si="6"/>
        <v>1355.4748028475271</v>
      </c>
    </row>
    <row r="22" spans="1:12" x14ac:dyDescent="0.3">
      <c r="A22" s="4" t="s">
        <v>35</v>
      </c>
      <c r="B22" s="4">
        <f>B18</f>
        <v>-1800</v>
      </c>
      <c r="C22" s="4">
        <f t="shared" ref="C22:L22" si="7">C21 + $C$5</f>
        <v>1044</v>
      </c>
      <c r="D22" s="4">
        <f t="shared" si="7"/>
        <v>1091.0400000000002</v>
      </c>
      <c r="E22" s="4">
        <f t="shared" si="7"/>
        <v>1139.8271999999997</v>
      </c>
      <c r="F22" s="4">
        <f t="shared" si="7"/>
        <v>1190.420736</v>
      </c>
      <c r="G22" s="4">
        <f t="shared" si="7"/>
        <v>1242.8816524799997</v>
      </c>
      <c r="H22" s="4">
        <f t="shared" si="7"/>
        <v>1297.2729623423995</v>
      </c>
      <c r="I22" s="4">
        <f t="shared" si="7"/>
        <v>1353.6597087064317</v>
      </c>
      <c r="J22" s="4">
        <f t="shared" si="7"/>
        <v>1412.1090286112601</v>
      </c>
      <c r="K22" s="4">
        <f t="shared" si="7"/>
        <v>1472.6902186861057</v>
      </c>
      <c r="L22" s="4">
        <f t="shared" si="7"/>
        <v>1535.4748028475271</v>
      </c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 t="s">
        <v>44</v>
      </c>
      <c r="B24" s="4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 t="s">
        <v>36</v>
      </c>
      <c r="B25" s="4">
        <f>NPV($B$7, C15:L15) + B15</f>
        <v>9701.1468855881485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 t="s">
        <v>37</v>
      </c>
      <c r="B26" s="5">
        <f>IRR(B15:L15)</f>
        <v>0.55436666188932437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">
      <c r="A27" s="4" t="s">
        <v>38</v>
      </c>
      <c r="B27" s="4">
        <f>NPV($C$7, C22:L22) + B22</f>
        <v>5794.1849460613703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4" t="s">
        <v>39</v>
      </c>
      <c r="B28" s="5">
        <f>IRR(B22:L22)</f>
        <v>0.61724250724227381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4" t="s">
        <v>40</v>
      </c>
      <c r="B30" s="4" t="s">
        <v>36</v>
      </c>
      <c r="C30" s="4" t="s">
        <v>38</v>
      </c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">
      <c r="A31" s="4">
        <v>-0.1</v>
      </c>
      <c r="B31">
        <f>$B$25 + ($B$3 * $A31 * (1 - $B$6)) * (1 - ((1+$B$36)/(1+$B$7))^10) / ($B$7 - $B$36)</f>
        <v>7850.7965813726942</v>
      </c>
      <c r="C31">
        <f>$B$27 + ($C$3 * $A31 * (1 - $C$6)) * (1 - ((1+$B$36)/(1+$C$7))^10) / ($C$7 - $B$36)</f>
        <v>3943.8346418459159</v>
      </c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4">
        <v>0</v>
      </c>
      <c r="B32">
        <f>$B$25 + ($B$3 * $A32 * (1 - $B$6)) * (1 - ((1+$B$36)/(1+$B$7))^10) / ($B$7 - $B$36)</f>
        <v>9701.1468855881485</v>
      </c>
      <c r="C32">
        <f>$B$27 + ($C$3 * $A32 * (1 - $C$6)) * (1 - ((1+$B$36)/(1+$C$7))^10) / ($C$7 - $B$36)</f>
        <v>5794.1849460613703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4">
        <v>0.1</v>
      </c>
      <c r="B33">
        <f>$B$25 + ($B$3 * $A33 * (1 - $B$6)) * (1 - ((1+$B$36)/(1+$B$7))^10) / ($B$7 - $B$36)</f>
        <v>11551.497189803604</v>
      </c>
      <c r="C33">
        <f>$B$27 + ($C$3 * $A33 * (1 - $C$6)) * (1 - ((1+$B$36)/(1+$C$7))^10) / ($C$7 - $B$36)</f>
        <v>7644.5352502768246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D34" s="4"/>
      <c r="E34" s="4"/>
      <c r="F34" s="4"/>
      <c r="G34" s="4"/>
      <c r="H34" s="4"/>
      <c r="I34" s="4"/>
      <c r="J34" s="4"/>
      <c r="K34" s="4"/>
      <c r="L34" s="4"/>
    </row>
    <row r="35" spans="1:12" ht="15" x14ac:dyDescent="0.35">
      <c r="A35" s="1"/>
      <c r="B35" s="2"/>
      <c r="C35" s="3"/>
    </row>
    <row r="36" spans="1:12" x14ac:dyDescent="0.3">
      <c r="A36" t="s">
        <v>41</v>
      </c>
      <c r="B36" s="1">
        <v>0.03</v>
      </c>
    </row>
    <row r="37" spans="1:12" x14ac:dyDescent="0.3">
      <c r="A37" t="s">
        <v>42</v>
      </c>
      <c r="B37" s="1">
        <v>0.02</v>
      </c>
    </row>
    <row r="38" spans="1:12" x14ac:dyDescent="0.3">
      <c r="A38" t="s">
        <v>57</v>
      </c>
      <c r="B38">
        <f>NPV(B7, C15:L15) / ABS(B15)</f>
        <v>3.6947630237744855</v>
      </c>
    </row>
    <row r="39" spans="1:12" x14ac:dyDescent="0.3">
      <c r="A39" t="s">
        <v>58</v>
      </c>
      <c r="B39">
        <f>NPV(C7, C22:L22) / ABS(B22)</f>
        <v>4.2189916367007614</v>
      </c>
    </row>
    <row r="40" spans="1:12" x14ac:dyDescent="0.3">
      <c r="A40" t="s">
        <v>43</v>
      </c>
      <c r="B40" s="1">
        <v>1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chương 3</vt:lpstr>
      <vt:lpstr>chương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phan</dc:creator>
  <cp:lastModifiedBy>đức phan</cp:lastModifiedBy>
  <dcterms:created xsi:type="dcterms:W3CDTF">2026-03-07T15:23:00Z</dcterms:created>
  <dcterms:modified xsi:type="dcterms:W3CDTF">2026-04-01T07:05:12Z</dcterms:modified>
</cp:coreProperties>
</file>